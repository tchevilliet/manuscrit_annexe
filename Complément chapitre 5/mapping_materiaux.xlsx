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pping_materiaux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<sst xmlns="http://schemas.openxmlformats.org/spreadsheetml/2006/main" count="57" uniqueCount="37">
  <si>
    <t xml:space="preserve">material</t>
  </si>
  <si>
    <t xml:space="preserve">ecoinvent_process_code</t>
  </si>
  <si>
    <t xml:space="preserve">database</t>
  </si>
  <si>
    <t xml:space="preserve">conversion (masse-uf)</t>
  </si>
  <si>
    <t xml:space="preserve">EPDM</t>
  </si>
  <si>
    <t xml:space="preserve">produits pour étanchéité de toiture _feuilles à base de bitume_m²_30</t>
  </si>
  <si>
    <t xml:space="preserve">2026-8-9_composants_yc_consos</t>
  </si>
  <si>
    <t xml:space="preserve">Enduit ciment 1 cm</t>
  </si>
  <si>
    <t xml:space="preserve">chapes / chapes flottantes_béton et mortier à base de ciment_m²_50</t>
  </si>
  <si>
    <t xml:space="preserve">Generic Acoustic Tile</t>
  </si>
  <si>
    <t xml:space="preserve">isolants acoustiques pour cloisons_laine de verre_m²_50</t>
  </si>
  <si>
    <t xml:space="preserve">Generic Ceiling Air Gap</t>
  </si>
  <si>
    <t xml:space="preserve">Generic LW Concrete</t>
  </si>
  <si>
    <t xml:space="preserve">Gravier 5cm</t>
  </si>
  <si>
    <t xml:space="preserve">produits de construction_autres_m²_50</t>
  </si>
  <si>
    <t xml:space="preserve">Pare-Vapeur</t>
  </si>
  <si>
    <t xml:space="preserve">isolation_membranes/pare-vapeur_m²_30</t>
  </si>
  <si>
    <t xml:space="preserve">XPS 16cm</t>
  </si>
  <si>
    <t xml:space="preserve">entrevous / hourdis isolants_polystyrène expansé_m²_100</t>
  </si>
  <si>
    <t xml:space="preserve">XPS 22cm</t>
  </si>
  <si>
    <t xml:space="preserve">mineral wool 15 cm</t>
  </si>
  <si>
    <t xml:space="preserve">système pour murs (iti)_laine de verre_m²_50</t>
  </si>
  <si>
    <t xml:space="preserve">mineral wool 10 cm</t>
  </si>
  <si>
    <t xml:space="preserve">mineral wool 3 cm</t>
  </si>
  <si>
    <t xml:space="preserve">plasterboard</t>
  </si>
  <si>
    <t xml:space="preserve">cloisonnement_plaque de plâtre_m²_50</t>
  </si>
  <si>
    <t xml:space="preserve">reinforced concrete 20 cm</t>
  </si>
  <si>
    <t xml:space="preserve">murs (éléments architecturaux)_béton armé_m²_100</t>
  </si>
  <si>
    <t xml:space="preserve">CLT 20 cm</t>
  </si>
  <si>
    <t xml:space="preserve">escaliers (intérieur et extérieur)_bois_m_50</t>
  </si>
  <si>
    <t xml:space="preserve">Double vitrage U = 1.2</t>
  </si>
  <si>
    <t xml:space="preserve">fenêtres / portes fenêtres_pvc_m²_30</t>
  </si>
  <si>
    <t xml:space="preserve">consommation_eau</t>
  </si>
  <si>
    <t xml:space="preserve">consommations_eau</t>
  </si>
  <si>
    <t xml:space="preserve">consommation_electricite</t>
  </si>
  <si>
    <t xml:space="preserve">consommations_electricite</t>
  </si>
  <si>
    <t xml:space="preserve">2026-6-19_composants_yc_consos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</si>
</sst>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7404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D19" activeCellId="0" sqref="D1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2.58"/>
    <col collapsed="false" customWidth="true" hidden="false" outlineLevel="0" max="2" min="2" style="1" width="66.65"/>
    <col collapsed="false" customWidth="true" hidden="false" outlineLevel="0" max="3" min="3" style="1" width="30.09"/>
    <col collapsed="false" customWidth="true" hidden="false" outlineLevel="0" max="4" min="4" style="1" width="19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C2" s="1" t="s">
        <v>6</v>
      </c>
      <c r="D2" s="1" t="n">
        <v>0.125</v>
      </c>
    </row>
    <row r="3" customFormat="false" ht="12.8" hidden="false" customHeight="false" outlineLevel="0" collapsed="false">
      <c r="A3" s="1" t="s">
        <v>7</v>
      </c>
      <c r="B3" s="1" t="s">
        <v>8</v>
      </c>
      <c r="C3" s="1" t="s">
        <v>6</v>
      </c>
      <c r="D3" s="1" t="n">
        <v>0.01</v>
      </c>
    </row>
    <row r="4" customFormat="false" ht="12.8" hidden="false" customHeight="false" outlineLevel="0" collapsed="false">
      <c r="A4" s="1" t="s">
        <v>9</v>
      </c>
      <c r="B4" s="1" t="s">
        <v>10</v>
      </c>
      <c r="C4" s="1" t="s">
        <v>6</v>
      </c>
      <c r="D4" s="1" t="n">
        <v>0.125</v>
      </c>
    </row>
    <row r="5" customFormat="false" ht="12.8" hidden="false" customHeight="false" outlineLevel="0" collapsed="false">
      <c r="A5" s="1" t="s">
        <v>11</v>
      </c>
    </row>
    <row r="6" customFormat="false" ht="12.8" hidden="false" customHeight="false" outlineLevel="0" collapsed="false">
      <c r="A6" s="1" t="s">
        <v>12</v>
      </c>
      <c r="B6" s="1" t="s">
        <v>8</v>
      </c>
      <c r="C6" s="1" t="s">
        <v>6</v>
      </c>
      <c r="D6" s="1" t="n">
        <v>0.01</v>
      </c>
    </row>
    <row r="7" customFormat="false" ht="12.8" hidden="false" customHeight="false" outlineLevel="0" collapsed="false">
      <c r="A7" s="1" t="s">
        <v>13</v>
      </c>
      <c r="B7" s="1" t="s">
        <v>14</v>
      </c>
      <c r="C7" s="1" t="s">
        <v>6</v>
      </c>
      <c r="D7" s="1" t="n">
        <v>0.001666667</v>
      </c>
    </row>
    <row r="8" customFormat="false" ht="13.8" hidden="false" customHeight="false" outlineLevel="0" collapsed="false">
      <c r="A8" s="1" t="s">
        <v>15</v>
      </c>
      <c r="B8" s="2" t="s">
        <v>16</v>
      </c>
      <c r="C8" s="1" t="s">
        <v>6</v>
      </c>
      <c r="D8" s="1" t="n">
        <v>12.5</v>
      </c>
    </row>
    <row r="9" customFormat="false" ht="12.8" hidden="false" customHeight="false" outlineLevel="0" collapsed="false">
      <c r="A9" s="1" t="s">
        <v>17</v>
      </c>
      <c r="B9" s="1" t="s">
        <v>18</v>
      </c>
      <c r="C9" s="1" t="s">
        <v>6</v>
      </c>
      <c r="D9" s="1" t="n">
        <v>1.85185185185185</v>
      </c>
    </row>
    <row r="10" customFormat="false" ht="12.8" hidden="false" customHeight="false" outlineLevel="0" collapsed="false">
      <c r="A10" s="1" t="s">
        <v>19</v>
      </c>
      <c r="B10" s="1" t="s">
        <v>18</v>
      </c>
      <c r="C10" s="1" t="s">
        <v>6</v>
      </c>
      <c r="D10" s="1" t="n">
        <v>1.85185185185185</v>
      </c>
    </row>
    <row r="11" customFormat="false" ht="12.8" hidden="false" customHeight="false" outlineLevel="0" collapsed="false">
      <c r="A11" s="1" t="s">
        <v>20</v>
      </c>
      <c r="B11" s="1" t="s">
        <v>21</v>
      </c>
      <c r="C11" s="1" t="s">
        <v>6</v>
      </c>
      <c r="D11" s="1" t="n">
        <v>0.125</v>
      </c>
    </row>
    <row r="12" customFormat="false" ht="12.8" hidden="false" customHeight="false" outlineLevel="0" collapsed="false">
      <c r="A12" s="1" t="s">
        <v>22</v>
      </c>
      <c r="B12" s="1" t="s">
        <v>21</v>
      </c>
      <c r="C12" s="1" t="s">
        <v>6</v>
      </c>
      <c r="D12" s="1" t="n">
        <v>0.125</v>
      </c>
    </row>
    <row r="13" customFormat="false" ht="12.8" hidden="false" customHeight="false" outlineLevel="0" collapsed="false">
      <c r="A13" s="1" t="s">
        <v>23</v>
      </c>
      <c r="B13" s="1" t="s">
        <v>21</v>
      </c>
      <c r="C13" s="1" t="s">
        <v>6</v>
      </c>
      <c r="D13" s="1" t="n">
        <v>0.125</v>
      </c>
    </row>
    <row r="14" customFormat="false" ht="12.8" hidden="false" customHeight="false" outlineLevel="0" collapsed="false">
      <c r="A14" s="1" t="s">
        <v>24</v>
      </c>
      <c r="B14" s="1" t="s">
        <v>25</v>
      </c>
      <c r="C14" s="1" t="s">
        <v>6</v>
      </c>
      <c r="D14" s="1" t="n">
        <v>0.112359551</v>
      </c>
    </row>
    <row r="15" customFormat="false" ht="12.8" hidden="false" customHeight="false" outlineLevel="0" collapsed="false">
      <c r="A15" s="1" t="s">
        <v>26</v>
      </c>
      <c r="B15" s="1" t="s">
        <v>27</v>
      </c>
      <c r="C15" s="1" t="s">
        <v>6</v>
      </c>
      <c r="D15" s="1" t="n">
        <v>0.002</v>
      </c>
    </row>
    <row r="16" customFormat="false" ht="12.8" hidden="false" customHeight="false" outlineLevel="0" collapsed="false">
      <c r="A16" s="1" t="s">
        <v>28</v>
      </c>
      <c r="B16" s="1" t="s">
        <v>29</v>
      </c>
      <c r="C16" s="1" t="s">
        <v>6</v>
      </c>
      <c r="D16" s="1" t="n">
        <f aca="false">1/(0.16*600)</f>
        <v>0.0104166666666667</v>
      </c>
    </row>
    <row r="17" customFormat="false" ht="12.8" hidden="false" customHeight="false" outlineLevel="0" collapsed="false">
      <c r="A17" s="3" t="s">
        <v>30</v>
      </c>
      <c r="B17" s="1" t="s">
        <v>31</v>
      </c>
      <c r="C17" s="1" t="s">
        <v>6</v>
      </c>
      <c r="D17" s="1" t="n">
        <f aca="false">1/29.62962963</f>
        <v>0.0337499999995781</v>
      </c>
    </row>
    <row r="18" customFormat="false" ht="12.8" hidden="false" customHeight="false" outlineLevel="0" collapsed="false">
      <c r="A18" s="1" t="s">
        <v>32</v>
      </c>
      <c r="B18" s="1" t="s">
        <v>33</v>
      </c>
      <c r="C18" s="1" t="s">
        <v>6</v>
      </c>
      <c r="D18" s="1" t="n">
        <f aca="false">1/1000</f>
        <v>0.001</v>
      </c>
    </row>
    <row r="19" customFormat="false" ht="12.8" hidden="false" customHeight="false" outlineLevel="0" collapsed="false">
      <c r="A19" s="1" t="s">
        <v>34</v>
      </c>
      <c r="B19" s="1" t="s">
        <v>35</v>
      </c>
      <c r="C19" s="1" t="s">
        <v>6</v>
      </c>
      <c r="D19" s="1" t="n">
        <v>1</v>
      </c>
    </row>
    <row r="1047404" customFormat="false" ht="12.8" hidden="false" customHeight="false" outlineLevel="0" collapsed="false">
      <c r="C1047404" s="1" t="s">
        <v>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2026-08-20T12:06:32Z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