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ource" sheetId="1" state="visible" r:id="rId3"/>
    <sheet name="Projects" sheetId="2" state="visible" r:id="rId4"/>
    <sheet name="Archetypes" sheetId="3" state="visible" r:id="rId5"/>
    <sheet name="Archetypes_wo_chantier" sheetId="4" state="visible" r:id="rId6"/>
    <sheet name="Material_categories" sheetId="5" state="visible" r:id="rId7"/>
    <sheet name="Consumptions" sheetId="6" state="visible" r:id="rId8"/>
    <sheet name="Construction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<sst xmlns="http://schemas.openxmlformats.org/spreadsheetml/2006/main" count="2528" uniqueCount="271">
  <si>
    <t xml:space="preserve">skip</t>
  </si>
  <si>
    <t xml:space="preserve">Hypothèses de quantités par archétypes</t>
  </si>
  <si>
    <t xml:space="preserve">Tirado, R.; Aublet, A.;  Laurenceau, S.; Thorel, M.; Louërat,  M.; Habert, G. Component-Based  Model for Building Material Stock  and Waste-Flow Characterization: A  Case in the Île-de-France  Region. Sustainability 2021, 13, 13159.  https://doi.org/10.3390/su132313159</t>
  </si>
  <si>
    <t xml:space="preserve">Voir fichier « supplementary informations modif"</t>
  </si>
  <si>
    <t xml:space="preserve">P6 uniquement (2013 – 2022)</t>
  </si>
  <si>
    <t xml:space="preserve">Quantités par m²SDP</t>
  </si>
  <si>
    <t xml:space="preserve">unité</t>
  </si>
  <si>
    <t xml:space="preserve">Individual_housing</t>
  </si>
  <si>
    <t xml:space="preserve">Collective_housing</t>
  </si>
  <si>
    <t xml:space="preserve">Office</t>
  </si>
  <si>
    <t xml:space="preserve">Industrial</t>
  </si>
  <si>
    <t xml:space="preserve">Education</t>
  </si>
  <si>
    <t xml:space="preserve">IW: concrete and stone</t>
  </si>
  <si>
    <t xml:space="preserve">kg/m²</t>
  </si>
  <si>
    <t xml:space="preserve">IW: bricks</t>
  </si>
  <si>
    <t xml:space="preserve">IW: roof tiles</t>
  </si>
  <si>
    <t xml:space="preserve">IW: ceramics</t>
  </si>
  <si>
    <t xml:space="preserve">NHW: gypsum plasterboards and planks</t>
  </si>
  <si>
    <t xml:space="preserve">NHW: insulation mineral wools</t>
  </si>
  <si>
    <t xml:space="preserve">NHW: insulation other</t>
  </si>
  <si>
    <t xml:space="preserve">NHW: metals ferrous</t>
  </si>
  <si>
    <t xml:space="preserve">nhw metals non ferrous</t>
  </si>
  <si>
    <t xml:space="preserve">NHW: windows</t>
  </si>
  <si>
    <t xml:space="preserve">NHW: wood low adjuvanted</t>
  </si>
  <si>
    <t xml:space="preserve">Other NHW</t>
  </si>
  <si>
    <t xml:space="preserve">gaz consumption</t>
  </si>
  <si>
    <t xml:space="preserve">kWh/m²</t>
  </si>
  <si>
    <t xml:space="preserve">electricity consumption</t>
  </si>
  <si>
    <t xml:space="preserve">oil consumption</t>
  </si>
  <si>
    <t xml:space="preserve">coal consumption</t>
  </si>
  <si>
    <t xml:space="preserve">water consumption</t>
  </si>
  <si>
    <t xml:space="preserve">m3/m²</t>
  </si>
  <si>
    <t xml:space="preserve">construction</t>
  </si>
  <si>
    <t xml:space="preserve">month/m²</t>
  </si>
  <si>
    <t xml:space="preserve">Hypothèses diverses</t>
  </si>
  <si>
    <t xml:space="preserve">valeur</t>
  </si>
  <si>
    <t xml:space="preserve">Commentaires</t>
  </si>
  <si>
    <t xml:space="preserve">Durée de vie de référence </t>
  </si>
  <si>
    <t xml:space="preserve">ans</t>
  </si>
  <si>
    <t xml:space="preserve">Age moyen du parc ?</t>
  </si>
  <si>
    <t xml:space="preserve"> </t>
  </si>
  <si>
    <t xml:space="preserve">Densité du béton</t>
  </si>
  <si>
    <t xml:space="preserve">kg/m³</t>
  </si>
  <si>
    <t xml:space="preserve">Calculette simplifiée E+C- Chantier typo autres que maisons individuelles</t>
  </si>
  <si>
    <t xml:space="preserve">Densité surfacique fenêtre alu</t>
  </si>
  <si>
    <t xml:space="preserve">Valeur fiches ecoinvent</t>
  </si>
  <si>
    <t xml:space="preserve">A indiquer</t>
  </si>
  <si>
    <t xml:space="preserve">Densité surfacique fenêtre PVC</t>
  </si>
  <si>
    <t xml:space="preserve">nb mois grue été</t>
  </si>
  <si>
    <t xml:space="preserve">sur un an</t>
  </si>
  <si>
    <t xml:space="preserve">Densité surfacique fenêtre bois</t>
  </si>
  <si>
    <t xml:space="preserve">nb mois grue hiver</t>
  </si>
  <si>
    <t xml:space="preserve">Part fenêtre alu </t>
  </si>
  <si>
    <t xml:space="preserve">-</t>
  </si>
  <si>
    <t xml:space="preserve">https://www.insee.fr/fr/statistiques/3587175</t>
  </si>
  <si>
    <t xml:space="preserve">nb mois sans grue été</t>
  </si>
  <si>
    <t xml:space="preserve">Part fenêtre PVC </t>
  </si>
  <si>
    <t xml:space="preserve">nb mois sans grue hiber</t>
  </si>
  <si>
    <t xml:space="preserve">Part fenêtre bois </t>
  </si>
  <si>
    <t xml:space="preserve">Quantité terres excavées</t>
  </si>
  <si>
    <t xml:space="preserve">Densité volumique bois</t>
  </si>
  <si>
    <t xml:space="preserve">Conversion MJ – kWh</t>
  </si>
  <si>
    <t xml:space="preserve">MJ/kWh</t>
  </si>
  <si>
    <t xml:space="preserve">resultats</t>
  </si>
  <si>
    <t xml:space="preserve">absolus</t>
  </si>
  <si>
    <t xml:space="preserve">par mois</t>
  </si>
  <si>
    <t xml:space="preserve">Densité énergétique gaz</t>
  </si>
  <si>
    <t xml:space="preserve">kWh/m³</t>
  </si>
  <si>
    <t xml:space="preserve">Net calorific value fiche ecoinvent market for natural gas, low pressure, FR</t>
  </si>
  <si>
    <t xml:space="preserve">Q cons elec</t>
  </si>
  <si>
    <t xml:space="preserve">Densité eau</t>
  </si>
  <si>
    <t xml:space="preserve">Q terres</t>
  </si>
  <si>
    <t xml:space="preserve">Consommation chantier diesel MJ/mois</t>
  </si>
  <si>
    <t xml:space="preserve">MJ/mois</t>
  </si>
  <si>
    <t xml:space="preserve">Q eau</t>
  </si>
  <si>
    <t xml:space="preserve">Consommation chantier elec kwh/mois</t>
  </si>
  <si>
    <t xml:space="preserve">kWh/mois</t>
  </si>
  <si>
    <t xml:space="preserve">cf calculette pour l’instant</t>
  </si>
  <si>
    <t xml:space="preserve">Quantité terres excavées m³/mois</t>
  </si>
  <si>
    <t xml:space="preserve">m3/mois</t>
  </si>
  <si>
    <t xml:space="preserve">Consommation chantier eau m³/mois</t>
  </si>
  <si>
    <t xml:space="preserve">Distance terre</t>
  </si>
  <si>
    <t xml:space="preserve">km</t>
  </si>
  <si>
    <t xml:space="preserve">Consommation domestique moyenne eau france</t>
  </si>
  <si>
    <t xml:space="preserve">m3/habitant/an</t>
  </si>
  <si>
    <t xml:space="preserve">habitant/m²</t>
  </si>
  <si>
    <t xml:space="preserve">m2/habitant</t>
  </si>
  <si>
    <t xml:space="preserve">31 en milieu urbain, 47 milieu rural</t>
  </si>
  <si>
    <t xml:space="preserve">Consommation eau tertiaire</t>
  </si>
  <si>
    <t xml:space="preserve">m3/m2/an</t>
  </si>
  <si>
    <t xml:space="preserve">Source = baromètre 2024 OID</t>
  </si>
  <si>
    <t xml:space="preserve">Consommation eau industrielle</t>
  </si>
  <si>
    <t xml:space="preserve">m3/an/m²</t>
  </si>
  <si>
    <t xml:space="preserve">Source : France stratégie pour consos (705 millions de m³) et surface (212000 hectares)</t>
  </si>
  <si>
    <t xml:space="preserve">consommation log indiv élec annuelle </t>
  </si>
  <si>
    <t xml:space="preserve">Source : CEREN (/home/thibault.chevilliet@enpc.fr/Documents/2501_calculs_pour_AUGC/IN/CEREN – Donnees-energie-1990-2022-secteur-residentiel.xlsx)</t>
  </si>
  <si>
    <t xml:space="preserve">consommation log coll élec annuelle </t>
  </si>
  <si>
    <t xml:space="preserve">Consommation bureaux élec annuelle </t>
  </si>
  <si>
    <t xml:space="preserve">Source : CEREN (/home/thibault.chevilliet@enpc.fr/Documents/2501_calculs_pour_AUGC/IN/CEREN – Donnees-energie-1990-2022-secteur-tertiaire.xlsx)</t>
  </si>
  <si>
    <t xml:space="preserve">Consommation bureaux gaz annuelle </t>
  </si>
  <si>
    <t xml:space="preserve">Consommation industrie élec annuelle </t>
  </si>
  <si>
    <t xml:space="preserve">Source : CEREN (/home/thibault.chevilliet@enpc.fr/Documents/2501_calculs_pour_AUGC/IN/CEREN-Donnees_2016_MAJ_2020_02_05-Industrie.xlsx) et Rapport france stratégie pour les surfaces</t>
  </si>
  <si>
    <t xml:space="preserve">Consommation industrie gaz annuelle </t>
  </si>
  <si>
    <t xml:space="preserve">Consommation industrie pétrole annuelle </t>
  </si>
  <si>
    <t xml:space="preserve">Consommation industrie charbon annuelle </t>
  </si>
  <si>
    <t xml:space="preserve">Durée construction 1 m²</t>
  </si>
  <si>
    <t xml:space="preserve">jours/m²</t>
  </si>
  <si>
    <t xml:space="preserve">https://www.statistiques.developpement-durable.gouv.fr/media/899/download?inline</t>
  </si>
  <si>
    <t xml:space="preserve">12 à 21 jours de délais supplémentaire pour 10 m²</t>
  </si>
  <si>
    <t xml:space="preserve">Densité énergétique pétrole</t>
  </si>
  <si>
    <t xml:space="preserve">MJ/kg</t>
  </si>
  <si>
    <t xml:space="preserve">calorific value fiche market for heavy fuel oil, Eur without CH </t>
  </si>
  <si>
    <t xml:space="preserve">Densité énergétique charbon</t>
  </si>
  <si>
    <t xml:space="preserve">calorific value fiche market for hard coal briquettes , RER</t>
  </si>
  <si>
    <t xml:space="preserve">Largeur des routes</t>
  </si>
  <si>
    <t xml:space="preserve">m</t>
  </si>
  <si>
    <t xml:space="preserve">Consommation annuelle eau espaces verts</t>
  </si>
  <si>
    <t xml:space="preserve">L/m²</t>
  </si>
  <si>
    <t xml:space="preserve">CEREMA Economie et partage des ressources en eau. Série de fiches : Fiche n° 2 - Optimiser l’arrosage des espaces verts</t>
  </si>
  <si>
    <t xml:space="preserve">Densité arbres dans les espaces verts</t>
  </si>
  <si>
    <t xml:space="preserve">arbres /m²</t>
  </si>
  <si>
    <t xml:space="preserve">https://www.lemonde.fr/blog/alternatives/2014/02/19/le-top-10-des-villes-les-plus-vertes-de-france/</t>
  </si>
  <si>
    <t xml:space="preserve">Période de plantations</t>
  </si>
  <si>
    <t xml:space="preserve">taux d’évaporation</t>
  </si>
  <si>
    <t xml:space="preserve">https://www.drias-climat.fr/accompagnement/sections/310</t>
  </si>
  <si>
    <t xml:space="preserve">Pourcentage ecart type relatif</t>
  </si>
  <si>
    <t xml:space="preserve">cutoff</t>
  </si>
  <si>
    <t xml:space="preserve">Database</t>
  </si>
  <si>
    <t xml:space="preserve">archetypes_metabo</t>
  </si>
  <si>
    <t xml:space="preserve">format</t>
  </si>
  <si>
    <t xml:space="preserve">Excel spreadsheet</t>
  </si>
  <si>
    <t xml:space="preserve">Activity</t>
  </si>
  <si>
    <t xml:space="preserve">programme_1991</t>
  </si>
  <si>
    <t xml:space="preserve">categories</t>
  </si>
  <si>
    <t xml:space="preserve">custom process</t>
  </si>
  <si>
    <t xml:space="preserve">code</t>
  </si>
  <si>
    <t xml:space="preserve">comment</t>
  </si>
  <si>
    <t xml:space="preserve">un commentaire</t>
  </si>
  <si>
    <t xml:space="preserve">location</t>
  </si>
  <si>
    <t xml:space="preserve">FR</t>
  </si>
  <si>
    <t xml:space="preserve">production amount</t>
  </si>
  <si>
    <t xml:space="preserve">type</t>
  </si>
  <si>
    <t xml:space="preserve">process</t>
  </si>
  <si>
    <t xml:space="preserve">unit</t>
  </si>
  <si>
    <t xml:space="preserve">Exchanges</t>
  </si>
  <si>
    <t xml:space="preserve">name</t>
  </si>
  <si>
    <t xml:space="preserve">amount</t>
  </si>
  <si>
    <t xml:space="preserve">database</t>
  </si>
  <si>
    <t xml:space="preserve">uncertainty type</t>
  </si>
  <si>
    <t xml:space="preserve">loc</t>
  </si>
  <si>
    <t xml:space="preserve">scale</t>
  </si>
  <si>
    <t xml:space="preserve">shape</t>
  </si>
  <si>
    <t xml:space="preserve">minimum</t>
  </si>
  <si>
    <t xml:space="preserve">maximum</t>
  </si>
  <si>
    <t xml:space="preserve">production</t>
  </si>
  <si>
    <t xml:space="preserve">collective housing</t>
  </si>
  <si>
    <t xml:space="preserve">square meter</t>
  </si>
  <si>
    <t xml:space="preserve">technosphere</t>
  </si>
  <si>
    <t xml:space="preserve">office building</t>
  </si>
  <si>
    <t xml:space="preserve">education building</t>
  </si>
  <si>
    <t xml:space="preserve">roads</t>
  </si>
  <si>
    <t xml:space="preserve">vegetation</t>
  </si>
  <si>
    <t xml:space="preserve">programme_1997</t>
  </si>
  <si>
    <t xml:space="preserve">programme_2002</t>
  </si>
  <si>
    <t xml:space="preserve">programme_2009</t>
  </si>
  <si>
    <t xml:space="preserve">v</t>
  </si>
  <si>
    <t xml:space="preserve">individual housing</t>
  </si>
  <si>
    <t xml:space="preserve">All columns past the first two for database and activity definitions are ignored in any case.</t>
  </si>
  <si>
    <t xml:space="preserve">custom_process</t>
  </si>
  <si>
    <t xml:space="preserve">arch_individual_housing</t>
  </si>
  <si>
    <t xml:space="preserve">You can also use human-friendly identifiers like "acetic acid", just make sure they are unique</t>
  </si>
  <si>
    <t xml:space="preserve">archétype basé sur Tirado 2021 pour matières et BDNB pour consos</t>
  </si>
  <si>
    <t xml:space="preserve">concrete and stone</t>
  </si>
  <si>
    <t xml:space="preserve">kilogram</t>
  </si>
  <si>
    <t xml:space="preserve">bricks</t>
  </si>
  <si>
    <t xml:space="preserve">roof tiles</t>
  </si>
  <si>
    <t xml:space="preserve">ceramics</t>
  </si>
  <si>
    <t xml:space="preserve">gypsum</t>
  </si>
  <si>
    <t xml:space="preserve">mineral insulation</t>
  </si>
  <si>
    <t xml:space="preserve">other insulation</t>
  </si>
  <si>
    <t xml:space="preserve">metals ferrous</t>
  </si>
  <si>
    <t xml:space="preserve">metals non-ferrous</t>
  </si>
  <si>
    <t xml:space="preserve">windows</t>
  </si>
  <si>
    <t xml:space="preserve">wood low adjuvanted</t>
  </si>
  <si>
    <t xml:space="preserve">other NHW</t>
  </si>
  <si>
    <t xml:space="preserve">kwh</t>
  </si>
  <si>
    <t xml:space="preserve">cubic meter</t>
  </si>
  <si>
    <t xml:space="preserve">month</t>
  </si>
  <si>
    <t xml:space="preserve">arch_collective_housing</t>
  </si>
  <si>
    <t xml:space="preserve">arch_office</t>
  </si>
  <si>
    <t xml:space="preserve">industrial building</t>
  </si>
  <si>
    <t xml:space="preserve">arch_industrial</t>
  </si>
  <si>
    <t xml:space="preserve">arch_education</t>
  </si>
  <si>
    <t xml:space="preserve">arch_roads</t>
  </si>
  <si>
    <t xml:space="preserve">market for road</t>
  </si>
  <si>
    <t xml:space="preserve">m*year</t>
  </si>
  <si>
    <t xml:space="preserve">ecoinvent-3.11-cutoff</t>
  </si>
  <si>
    <t xml:space="preserve">GLO</t>
  </si>
  <si>
    <t xml:space="preserve">market for road maintenance</t>
  </si>
  <si>
    <t xml:space="preserve">RER</t>
  </si>
  <si>
    <t xml:space="preserve">market for decommissioned road</t>
  </si>
  <si>
    <t xml:space="preserve">arch_vegetation</t>
  </si>
  <si>
    <t xml:space="preserve">archetypes</t>
  </si>
  <si>
    <t xml:space="preserve">market for planting tree</t>
  </si>
  <si>
    <t xml:space="preserve">tap water production, conventional treatment</t>
  </si>
  <si>
    <t xml:space="preserve">Europe without Switzerland</t>
  </si>
  <si>
    <t xml:space="preserve">market for tap water</t>
  </si>
  <si>
    <t xml:space="preserve">water</t>
  </si>
  <si>
    <t xml:space="preserve">ecoinvent-3.11-biosphere</t>
  </si>
  <si>
    <t xml:space="preserve">water::ground-</t>
  </si>
  <si>
    <t xml:space="preserve">emission</t>
  </si>
  <si>
    <t xml:space="preserve">air</t>
  </si>
  <si>
    <t xml:space="preserve">concrete_and_stone</t>
  </si>
  <si>
    <t xml:space="preserve">archétype classification Tirado 2021</t>
  </si>
  <si>
    <t xml:space="preserve">dve</t>
  </si>
  <si>
    <t xml:space="preserve">market for concrete, 35MPa</t>
  </si>
  <si>
    <t xml:space="preserve">RoW</t>
  </si>
  <si>
    <t xml:space="preserve">market for waste concrete</t>
  </si>
  <si>
    <t xml:space="preserve">Europe without Switzerland </t>
  </si>
  <si>
    <t xml:space="preserve">bricks_code</t>
  </si>
  <si>
    <t xml:space="preserve">market for sand-lime brick</t>
  </si>
  <si>
    <t xml:space="preserve">market for waste brick</t>
  </si>
  <si>
    <t xml:space="preserve">roof_tiles</t>
  </si>
  <si>
    <t xml:space="preserve">market for ceramic tile</t>
  </si>
  <si>
    <t xml:space="preserve">ceramics_code</t>
  </si>
  <si>
    <t xml:space="preserve">gypsum_code</t>
  </si>
  <si>
    <t xml:space="preserve">market for gypsum, mineral</t>
  </si>
  <si>
    <t xml:space="preserve">market for waste gypsum</t>
  </si>
  <si>
    <t xml:space="preserve">mineral_insulation</t>
  </si>
  <si>
    <t xml:space="preserve">market for stone wool</t>
  </si>
  <si>
    <t xml:space="preserve">market for waste mineral wool</t>
  </si>
  <si>
    <t xml:space="preserve">other_insulation</t>
  </si>
  <si>
    <t xml:space="preserve">market for polystyrene foam slab</t>
  </si>
  <si>
    <t xml:space="preserve">market for waste polystyrene</t>
  </si>
  <si>
    <t xml:space="preserve">metals_ferrous</t>
  </si>
  <si>
    <t xml:space="preserve">market for steel, unalloyed</t>
  </si>
  <si>
    <t xml:space="preserve">market for ferrous metal, in mixed metal scrap</t>
  </si>
  <si>
    <t xml:space="preserve">metals_non-ferrous</t>
  </si>
  <si>
    <t xml:space="preserve">market for zinc</t>
  </si>
  <si>
    <t xml:space="preserve">treatment of zinc slag, residual material landfill</t>
  </si>
  <si>
    <t xml:space="preserve">windows_code</t>
  </si>
  <si>
    <t xml:space="preserve">market for window frame, aluminium, U=1.6 W/m2K</t>
  </si>
  <si>
    <t xml:space="preserve">market for window frame, poly vinyl chloride, U=1.6 W/m2K</t>
  </si>
  <si>
    <t xml:space="preserve">market for window frame, wood, U=1.5 W/m2K</t>
  </si>
  <si>
    <t xml:space="preserve">market for used window frame, plastic</t>
  </si>
  <si>
    <t xml:space="preserve">market for used window frame, wood</t>
  </si>
  <si>
    <t xml:space="preserve">wood_low_adjuvanted</t>
  </si>
  <si>
    <t xml:space="preserve">market for structural timber</t>
  </si>
  <si>
    <t xml:space="preserve">market for waste building wood, chrome preserved</t>
  </si>
  <si>
    <t xml:space="preserve">other_nhw</t>
  </si>
  <si>
    <t xml:space="preserve">gaz_consumption</t>
  </si>
  <si>
    <t xml:space="preserve">consos gaz ville FR</t>
  </si>
  <si>
    <t xml:space="preserve">market for natural gas, low pressure</t>
  </si>
  <si>
    <t xml:space="preserve">electricity_consumption</t>
  </si>
  <si>
    <t xml:space="preserve">consos élec FR</t>
  </si>
  <si>
    <t xml:space="preserve">market for electricity, low voltage</t>
  </si>
  <si>
    <t xml:space="preserve">water_consumption</t>
  </si>
  <si>
    <t xml:space="preserve">consos eau FR</t>
  </si>
  <si>
    <t xml:space="preserve">oil_consumption</t>
  </si>
  <si>
    <t xml:space="preserve">consos pétrole FR</t>
  </si>
  <si>
    <t xml:space="preserve">market for heavy fuel oil</t>
  </si>
  <si>
    <t xml:space="preserve">coal_consumption</t>
  </si>
  <si>
    <t xml:space="preserve">consos charbon FR</t>
  </si>
  <si>
    <t xml:space="preserve">market for hard coal briquettes</t>
  </si>
  <si>
    <t xml:space="preserve">megajoule</t>
  </si>
  <si>
    <t xml:space="preserve">construction_code</t>
  </si>
  <si>
    <t xml:space="preserve">procédé correspondant au temps de chantier</t>
  </si>
  <si>
    <t xml:space="preserve">diesel, burned in building machine</t>
  </si>
  <si>
    <t xml:space="preserve">market for electricity, medium voltage</t>
  </si>
  <si>
    <t xml:space="preserve">market group for transport, freight, lorry, diesel, unspecified</t>
  </si>
  <si>
    <t xml:space="preserve">metric ton*km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</si>
</sst>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"/>
    <numFmt numFmtId="167" formatCode="0\ %"/>
    <numFmt numFmtId="168" formatCode="0"/>
    <numFmt numFmtId="169" formatCode="0.000000"/>
    <numFmt numFmtId="170" formatCode="0.0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sz val="10"/>
      <color rgb="FF0000FF"/>
      <name val="Arial"/>
      <family val="2"/>
      <charset val="1"/>
    </font>
    <font>
      <i val="true"/>
      <sz val="11"/>
      <color rgb="FFFF0000"/>
      <name val="Calibri"/>
      <family val="0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ee.fr/fr/statistiques/3587175" TargetMode="External"/><Relationship Id="rId2" Type="http://schemas.openxmlformats.org/officeDocument/2006/relationships/hyperlink" Target="https://www.insee.fr/fr/statistiques/3587175" TargetMode="External"/><Relationship Id="rId3" Type="http://schemas.openxmlformats.org/officeDocument/2006/relationships/hyperlink" Target="https://www.lemonde.fr/blog/alternatives/2014/02/19/le-top-10-des-villes-les-plus-vertes-de-franc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7"/>
  <sheetViews>
    <sheetView showFormulas="false" showGridLines="true" showRowColHeaders="true" showZeros="true" rightToLeft="false" tabSelected="false" showOutlineSymbols="true" defaultGridColor="true" view="normal" topLeftCell="A22" colorId="64" zoomScale="90" zoomScaleNormal="90" zoomScalePageLayoutView="100" workbookViewId="0">
      <selection pane="topLeft" activeCell="C61" activeCellId="0" sqref="C6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8.06"/>
    <col collapsed="false" customWidth="true" hidden="false" outlineLevel="0" max="2" min="2" style="1" width="10.2"/>
    <col collapsed="false" customWidth="true" hidden="false" outlineLevel="0" max="7" min="3" style="1" width="17.37"/>
    <col collapsed="false" customWidth="true" hidden="false" outlineLevel="0" max="13" min="13" style="1" width="23.99"/>
  </cols>
  <sheetData>
    <row r="1" customFormat="false" ht="13.8" hidden="false" customHeight="false" outlineLevel="0" collapsed="false">
      <c r="A1" s="2" t="s">
        <v>0</v>
      </c>
      <c r="B1" s="2"/>
    </row>
    <row r="2" customFormat="false" ht="13.8" hidden="false" customHeight="false" outlineLevel="0" collapsed="false">
      <c r="A2" s="2"/>
      <c r="B2" s="2"/>
    </row>
    <row r="3" customFormat="false" ht="16.15" hidden="false" customHeight="false" outlineLevel="0" collapsed="false">
      <c r="A3" s="3" t="s">
        <v>1</v>
      </c>
      <c r="B3" s="2"/>
    </row>
    <row r="5" customFormat="false" ht="12.8" hidden="false" customHeight="false" outlineLevel="0" collapsed="false">
      <c r="A5" s="1" t="s">
        <v>2</v>
      </c>
    </row>
    <row r="6" customFormat="false" ht="12.8" hidden="false" customHeight="false" outlineLevel="0" collapsed="false">
      <c r="A6" s="1" t="s">
        <v>3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2.8" hidden="false" customHeight="false" outlineLevel="0" collapsed="false">
      <c r="A8" s="4" t="s">
        <v>4</v>
      </c>
      <c r="B8" s="4"/>
      <c r="C8" s="4"/>
      <c r="D8" s="4"/>
      <c r="E8" s="4"/>
      <c r="F8" s="4"/>
      <c r="G8" s="4"/>
    </row>
    <row r="9" customFormat="false" ht="34.55" hidden="false" customHeight="true" outlineLevel="0" collapsed="false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</row>
    <row r="10" customFormat="false" ht="12.8" hidden="false" customHeight="false" outlineLevel="0" collapsed="false">
      <c r="A10" s="4" t="s">
        <v>12</v>
      </c>
      <c r="B10" s="4" t="s">
        <v>13</v>
      </c>
      <c r="C10" s="6" t="n">
        <v>601.524070698071</v>
      </c>
      <c r="D10" s="6" t="n">
        <v>690.292486734803</v>
      </c>
      <c r="E10" s="6" t="n">
        <v>268.551169433124</v>
      </c>
      <c r="F10" s="6" t="n">
        <v>324.607798917837</v>
      </c>
      <c r="G10" s="6" t="n">
        <v>371.598591253266</v>
      </c>
    </row>
    <row r="11" customFormat="false" ht="12.8" hidden="false" customHeight="false" outlineLevel="0" collapsed="false">
      <c r="A11" s="4" t="s">
        <v>14</v>
      </c>
      <c r="B11" s="4" t="s">
        <v>13</v>
      </c>
      <c r="C11" s="6" t="n">
        <v>39.8667930419924</v>
      </c>
      <c r="D11" s="6" t="n">
        <v>9.68965422982872</v>
      </c>
      <c r="E11" s="6" t="n">
        <v>2.17197889322543</v>
      </c>
      <c r="F11" s="6" t="n">
        <v>12.0391160472074</v>
      </c>
      <c r="G11" s="6" t="n">
        <v>1.66349533681056</v>
      </c>
    </row>
    <row r="12" customFormat="false" ht="12.8" hidden="false" customHeight="false" outlineLevel="0" collapsed="false">
      <c r="A12" s="4" t="s">
        <v>15</v>
      </c>
      <c r="B12" s="4" t="s">
        <v>13</v>
      </c>
      <c r="C12" s="6" t="n">
        <v>25.464796448149</v>
      </c>
      <c r="D12" s="6" t="n">
        <v>0</v>
      </c>
      <c r="E12" s="6" t="n">
        <v>8.92680147492704</v>
      </c>
      <c r="F12" s="6" t="n">
        <v>5.8864608659195</v>
      </c>
      <c r="G12" s="6" t="n">
        <v>5.38879235589935</v>
      </c>
    </row>
    <row r="13" customFormat="false" ht="12.8" hidden="false" customHeight="false" outlineLevel="0" collapsed="false">
      <c r="A13" s="4" t="s">
        <v>16</v>
      </c>
      <c r="B13" s="4" t="s">
        <v>13</v>
      </c>
      <c r="C13" s="6" t="n">
        <v>22.6026498676353</v>
      </c>
      <c r="D13" s="6" t="n">
        <v>27.751799775671</v>
      </c>
      <c r="E13" s="6" t="n">
        <v>4.56101433879344</v>
      </c>
      <c r="F13" s="6" t="n">
        <v>7.27098067460725</v>
      </c>
      <c r="G13" s="6" t="n">
        <v>6.08084476155493</v>
      </c>
    </row>
    <row r="14" customFormat="false" ht="12.8" hidden="false" customHeight="false" outlineLevel="0" collapsed="false">
      <c r="A14" s="4" t="s">
        <v>17</v>
      </c>
      <c r="B14" s="4" t="s">
        <v>13</v>
      </c>
      <c r="C14" s="6" t="n">
        <v>28.9891082338888</v>
      </c>
      <c r="D14" s="6" t="n">
        <v>24.2817583055755</v>
      </c>
      <c r="E14" s="6" t="n">
        <v>10.9834518961189</v>
      </c>
      <c r="F14" s="6" t="n">
        <v>11.2542821934004</v>
      </c>
      <c r="G14" s="6" t="n">
        <v>11.9220641760255</v>
      </c>
    </row>
    <row r="15" customFormat="false" ht="12.8" hidden="false" customHeight="false" outlineLevel="0" collapsed="false">
      <c r="A15" s="4" t="s">
        <v>18</v>
      </c>
      <c r="B15" s="4" t="s">
        <v>13</v>
      </c>
      <c r="C15" s="6" t="n">
        <v>0.38581376312441</v>
      </c>
      <c r="D15" s="6" t="n">
        <v>0.0917654352710881</v>
      </c>
      <c r="E15" s="6" t="n">
        <v>0.278509181532353</v>
      </c>
      <c r="F15" s="6" t="n">
        <v>0.283796662519142</v>
      </c>
      <c r="G15" s="6" t="n">
        <v>0.330208281139609</v>
      </c>
    </row>
    <row r="16" customFormat="false" ht="12.8" hidden="false" customHeight="false" outlineLevel="0" collapsed="false">
      <c r="A16" s="4" t="s">
        <v>19</v>
      </c>
      <c r="B16" s="4" t="s">
        <v>13</v>
      </c>
      <c r="C16" s="6" t="n">
        <v>4.94460482115191</v>
      </c>
      <c r="D16" s="6" t="n">
        <v>0.628578167925227</v>
      </c>
      <c r="E16" s="6" t="n">
        <v>0</v>
      </c>
      <c r="F16" s="6" t="n">
        <v>0</v>
      </c>
      <c r="G16" s="6" t="n">
        <v>0</v>
      </c>
    </row>
    <row r="17" customFormat="false" ht="12.8" hidden="false" customHeight="false" outlineLevel="0" collapsed="false">
      <c r="A17" s="4" t="s">
        <v>20</v>
      </c>
      <c r="B17" s="4" t="s">
        <v>13</v>
      </c>
      <c r="C17" s="6" t="n">
        <v>0.991840986634935</v>
      </c>
      <c r="D17" s="6" t="n">
        <v>0.603744424963541</v>
      </c>
      <c r="E17" s="6" t="n">
        <v>0.302691787503423</v>
      </c>
      <c r="F17" s="6" t="n">
        <v>0.212993879564909</v>
      </c>
      <c r="G17" s="6" t="n">
        <v>0.292049725669897</v>
      </c>
    </row>
    <row r="18" customFormat="false" ht="12.8" hidden="false" customHeight="false" outlineLevel="0" collapsed="false">
      <c r="A18" s="4" t="s">
        <v>21</v>
      </c>
      <c r="B18" s="4" t="s">
        <v>13</v>
      </c>
      <c r="C18" s="6" t="n">
        <v>0</v>
      </c>
      <c r="D18" s="6" t="n">
        <v>0</v>
      </c>
      <c r="E18" s="6" t="n">
        <v>0.175001385847085</v>
      </c>
      <c r="F18" s="6" t="n">
        <v>0.674018335429887</v>
      </c>
      <c r="G18" s="6" t="n">
        <v>0.216300633300902</v>
      </c>
    </row>
    <row r="19" customFormat="false" ht="12.8" hidden="false" customHeight="false" outlineLevel="0" collapsed="false">
      <c r="A19" s="4" t="s">
        <v>22</v>
      </c>
      <c r="B19" s="4" t="s">
        <v>13</v>
      </c>
      <c r="C19" s="6" t="n">
        <v>6.9555552084245</v>
      </c>
      <c r="D19" s="6" t="n">
        <v>4.69592267343918</v>
      </c>
      <c r="E19" s="6" t="n">
        <v>2.79049117473607</v>
      </c>
      <c r="F19" s="6" t="n">
        <v>2.7556978712371</v>
      </c>
      <c r="G19" s="6" t="n">
        <v>3.38279424066537</v>
      </c>
    </row>
    <row r="20" customFormat="false" ht="12.8" hidden="false" customHeight="false" outlineLevel="0" collapsed="false">
      <c r="A20" s="4" t="s">
        <v>23</v>
      </c>
      <c r="B20" s="4" t="s">
        <v>13</v>
      </c>
      <c r="C20" s="6" t="n">
        <v>20.8708976226418</v>
      </c>
      <c r="D20" s="6" t="n">
        <v>7.24732618243788</v>
      </c>
      <c r="E20" s="6" t="n">
        <v>7.67641694537039</v>
      </c>
      <c r="F20" s="6" t="n">
        <v>5.97349243834701</v>
      </c>
      <c r="G20" s="6" t="n">
        <v>5.23972364085629</v>
      </c>
    </row>
    <row r="21" customFormat="false" ht="12.8" hidden="false" customHeight="false" outlineLevel="0" collapsed="false">
      <c r="A21" s="4" t="s">
        <v>24</v>
      </c>
      <c r="B21" s="4" t="s">
        <v>13</v>
      </c>
      <c r="C21" s="6" t="n">
        <v>0.393630056315404</v>
      </c>
      <c r="D21" s="6" t="n">
        <v>0.28662866945145</v>
      </c>
      <c r="E21" s="6" t="n">
        <v>0.277616582223064</v>
      </c>
      <c r="F21" s="6" t="n">
        <v>0.27915854146908</v>
      </c>
      <c r="G21" s="6" t="n">
        <v>0.292376972990324</v>
      </c>
    </row>
    <row r="22" customFormat="false" ht="12.8" hidden="false" customHeight="false" outlineLevel="0" collapsed="false">
      <c r="A22" s="4" t="s">
        <v>25</v>
      </c>
      <c r="B22" s="4" t="s">
        <v>26</v>
      </c>
      <c r="C22" s="6" t="n">
        <v>0</v>
      </c>
      <c r="D22" s="6" t="n">
        <v>0</v>
      </c>
      <c r="E22" s="6" t="n">
        <f aca="false">Source!$B$55*Source!$B$31</f>
        <v>3500</v>
      </c>
      <c r="F22" s="6" t="n">
        <f aca="false">Source!$B$57*Source!$B$31</f>
        <v>2800</v>
      </c>
      <c r="G22" s="6" t="n">
        <f aca="false">E22</f>
        <v>3500</v>
      </c>
    </row>
    <row r="23" customFormat="false" ht="12.8" hidden="false" customHeight="false" outlineLevel="0" collapsed="false">
      <c r="A23" s="4" t="s">
        <v>27</v>
      </c>
      <c r="B23" s="4" t="s">
        <v>26</v>
      </c>
      <c r="C23" s="6" t="n">
        <f aca="false">$B$52*$B$31</f>
        <v>4700</v>
      </c>
      <c r="D23" s="6" t="n">
        <f aca="false">$B$53*$B$31</f>
        <v>6800</v>
      </c>
      <c r="E23" s="6" t="n">
        <f aca="false">$B$54*$B$31</f>
        <v>5350</v>
      </c>
      <c r="F23" s="6" t="n">
        <f aca="false">$B$56*$B$31</f>
        <v>3300</v>
      </c>
      <c r="G23" s="6" t="n">
        <f aca="false">E23</f>
        <v>5350</v>
      </c>
    </row>
    <row r="24" customFormat="false" ht="12.8" hidden="false" customHeight="false" outlineLevel="0" collapsed="false">
      <c r="A24" s="4" t="s">
        <v>28</v>
      </c>
      <c r="B24" s="4" t="s">
        <v>26</v>
      </c>
      <c r="C24" s="6" t="n">
        <v>0</v>
      </c>
      <c r="D24" s="6" t="n">
        <v>0</v>
      </c>
      <c r="E24" s="6" t="n">
        <v>0</v>
      </c>
      <c r="F24" s="6" t="n">
        <f aca="false">B31*B58</f>
        <v>950</v>
      </c>
      <c r="G24" s="6" t="n">
        <v>0</v>
      </c>
    </row>
    <row r="25" customFormat="false" ht="12.8" hidden="false" customHeight="false" outlineLevel="0" collapsed="false">
      <c r="A25" s="4" t="s">
        <v>29</v>
      </c>
      <c r="B25" s="4" t="s">
        <v>26</v>
      </c>
      <c r="C25" s="6" t="n">
        <v>0</v>
      </c>
      <c r="D25" s="6" t="n">
        <v>0</v>
      </c>
      <c r="E25" s="6" t="n">
        <v>0</v>
      </c>
      <c r="F25" s="6" t="n">
        <f aca="false">B59*B31</f>
        <v>1200</v>
      </c>
      <c r="G25" s="6" t="n">
        <v>0</v>
      </c>
    </row>
    <row r="26" customFormat="false" ht="12.8" hidden="false" customHeight="false" outlineLevel="0" collapsed="false">
      <c r="A26" s="4" t="s">
        <v>30</v>
      </c>
      <c r="B26" s="4" t="s">
        <v>31</v>
      </c>
      <c r="C26" s="6" t="n">
        <f aca="false">$B$48*$B$31/$B$49</f>
        <v>88.7096774193548</v>
      </c>
      <c r="D26" s="6" t="n">
        <f aca="false">$B$48*$B$31/$B$49</f>
        <v>88.7096774193548</v>
      </c>
      <c r="E26" s="6" t="n">
        <f aca="false">B50*B31</f>
        <v>17</v>
      </c>
      <c r="F26" s="7" t="n">
        <f aca="false">B51*B31</f>
        <v>0.016627358490566</v>
      </c>
      <c r="G26" s="6" t="n">
        <f aca="false">B50*B31</f>
        <v>17</v>
      </c>
    </row>
    <row r="27" customFormat="false" ht="12.8" hidden="false" customHeight="false" outlineLevel="0" collapsed="false">
      <c r="A27" s="4" t="s">
        <v>32</v>
      </c>
      <c r="B27" s="4" t="s">
        <v>33</v>
      </c>
      <c r="C27" s="6" t="n">
        <f aca="false">$B$60/30</f>
        <v>0.05</v>
      </c>
      <c r="D27" s="6" t="n">
        <f aca="false">$B$60/30</f>
        <v>0.05</v>
      </c>
      <c r="E27" s="6" t="n">
        <f aca="false">$B$60/30</f>
        <v>0.05</v>
      </c>
      <c r="F27" s="6" t="n">
        <f aca="false">$B$60/30</f>
        <v>0.05</v>
      </c>
      <c r="G27" s="6" t="n">
        <f aca="false">$B$60/30</f>
        <v>0.05</v>
      </c>
    </row>
    <row r="29" customFormat="false" ht="16.15" hidden="false" customHeight="false" outlineLevel="0" collapsed="false">
      <c r="A29" s="3" t="s">
        <v>34</v>
      </c>
    </row>
    <row r="30" customFormat="false" ht="12.8" hidden="false" customHeight="false" outlineLevel="0" collapsed="false">
      <c r="B30" s="1" t="s">
        <v>35</v>
      </c>
      <c r="C30" s="1" t="s">
        <v>6</v>
      </c>
      <c r="D30" s="1" t="s">
        <v>36</v>
      </c>
    </row>
    <row r="31" customFormat="false" ht="12.8" hidden="false" customHeight="false" outlineLevel="0" collapsed="false">
      <c r="A31" s="1" t="s">
        <v>37</v>
      </c>
      <c r="B31" s="1" t="n">
        <v>50</v>
      </c>
      <c r="C31" s="1" t="s">
        <v>38</v>
      </c>
      <c r="D31" s="1" t="s">
        <v>39</v>
      </c>
      <c r="K31" s="1" t="s">
        <v>40</v>
      </c>
      <c r="L31" s="1" t="s">
        <v>40</v>
      </c>
    </row>
    <row r="32" customFormat="false" ht="12.8" hidden="false" customHeight="false" outlineLevel="0" collapsed="false">
      <c r="A32" s="1" t="s">
        <v>41</v>
      </c>
      <c r="B32" s="1" t="n">
        <v>2500</v>
      </c>
      <c r="C32" s="1" t="s">
        <v>42</v>
      </c>
      <c r="M32" s="1" t="s">
        <v>43</v>
      </c>
    </row>
    <row r="33" customFormat="false" ht="12.8" hidden="false" customHeight="false" outlineLevel="0" collapsed="false">
      <c r="A33" s="1" t="s">
        <v>44</v>
      </c>
      <c r="B33" s="1" t="n">
        <v>50.7</v>
      </c>
      <c r="C33" s="1" t="s">
        <v>13</v>
      </c>
      <c r="D33" s="1" t="s">
        <v>45</v>
      </c>
      <c r="M33" s="1" t="s">
        <v>46</v>
      </c>
    </row>
    <row r="34" customFormat="false" ht="12.8" hidden="false" customHeight="false" outlineLevel="0" collapsed="false">
      <c r="A34" s="1" t="s">
        <v>47</v>
      </c>
      <c r="B34" s="1" t="n">
        <v>94.5</v>
      </c>
      <c r="C34" s="1" t="s">
        <v>13</v>
      </c>
      <c r="D34" s="1" t="s">
        <v>45</v>
      </c>
      <c r="M34" s="1" t="s">
        <v>48</v>
      </c>
      <c r="N34" s="1" t="n">
        <v>4</v>
      </c>
      <c r="O34" s="1" t="s">
        <v>49</v>
      </c>
    </row>
    <row r="35" customFormat="false" ht="12.8" hidden="false" customHeight="false" outlineLevel="0" collapsed="false">
      <c r="A35" s="1" t="s">
        <v>50</v>
      </c>
      <c r="B35" s="1" t="n">
        <v>80.2</v>
      </c>
      <c r="C35" s="1" t="s">
        <v>13</v>
      </c>
      <c r="D35" s="1" t="s">
        <v>45</v>
      </c>
      <c r="M35" s="1" t="s">
        <v>51</v>
      </c>
      <c r="N35" s="1" t="n">
        <v>4</v>
      </c>
      <c r="O35" s="1" t="s">
        <v>49</v>
      </c>
    </row>
    <row r="36" customFormat="false" ht="12.8" hidden="false" customHeight="false" outlineLevel="0" collapsed="false">
      <c r="A36" s="1" t="s">
        <v>52</v>
      </c>
      <c r="B36" s="8" t="n">
        <v>0.51</v>
      </c>
      <c r="C36" s="1" t="s">
        <v>53</v>
      </c>
      <c r="D36" s="9" t="s">
        <v>54</v>
      </c>
      <c r="M36" s="1" t="s">
        <v>55</v>
      </c>
      <c r="N36" s="1" t="n">
        <v>2</v>
      </c>
      <c r="O36" s="1" t="s">
        <v>49</v>
      </c>
    </row>
    <row r="37" customFormat="false" ht="12.8" hidden="false" customHeight="false" outlineLevel="0" collapsed="false">
      <c r="A37" s="1" t="s">
        <v>56</v>
      </c>
      <c r="B37" s="8" t="n">
        <v>0.32</v>
      </c>
      <c r="C37" s="1" t="s">
        <v>53</v>
      </c>
      <c r="D37" s="9" t="s">
        <v>54</v>
      </c>
      <c r="M37" s="1" t="s">
        <v>57</v>
      </c>
      <c r="N37" s="1" t="n">
        <v>2</v>
      </c>
      <c r="O37" s="1" t="s">
        <v>49</v>
      </c>
    </row>
    <row r="38" customFormat="false" ht="12.8" hidden="false" customHeight="false" outlineLevel="0" collapsed="false">
      <c r="A38" s="1" t="s">
        <v>58</v>
      </c>
      <c r="B38" s="8" t="n">
        <f aca="false">1-B36-B37</f>
        <v>0.17</v>
      </c>
      <c r="C38" s="1" t="s">
        <v>53</v>
      </c>
      <c r="D38" s="1" t="s">
        <v>54</v>
      </c>
      <c r="M38" s="1" t="s">
        <v>59</v>
      </c>
      <c r="N38" s="1" t="n">
        <v>200</v>
      </c>
      <c r="O38" s="1" t="s">
        <v>49</v>
      </c>
    </row>
    <row r="39" customFormat="false" ht="12.8" hidden="false" customHeight="false" outlineLevel="0" collapsed="false">
      <c r="A39" s="1" t="s">
        <v>60</v>
      </c>
      <c r="B39" s="1" t="n">
        <v>600</v>
      </c>
      <c r="C39" s="1" t="s">
        <v>42</v>
      </c>
    </row>
    <row r="40" customFormat="false" ht="12.8" hidden="false" customHeight="false" outlineLevel="0" collapsed="false">
      <c r="A40" s="1" t="s">
        <v>61</v>
      </c>
      <c r="B40" s="10" t="n">
        <v>3.6</v>
      </c>
      <c r="C40" s="1" t="s">
        <v>62</v>
      </c>
      <c r="M40" s="1" t="s">
        <v>63</v>
      </c>
      <c r="N40" s="1" t="s">
        <v>64</v>
      </c>
      <c r="O40" s="1" t="s">
        <v>65</v>
      </c>
    </row>
    <row r="41" customFormat="false" ht="12.8" hidden="false" customHeight="false" outlineLevel="0" collapsed="false">
      <c r="A41" s="1" t="s">
        <v>66</v>
      </c>
      <c r="B41" s="1" t="n">
        <f aca="false">36/B40</f>
        <v>10</v>
      </c>
      <c r="C41" s="1" t="s">
        <v>67</v>
      </c>
      <c r="D41" s="1" t="s">
        <v>68</v>
      </c>
      <c r="M41" s="1" t="s">
        <v>69</v>
      </c>
      <c r="N41" s="1" t="n">
        <f aca="false">10400*(N34+N37)+N35*19500+N36*5200</f>
        <v>150800</v>
      </c>
      <c r="O41" s="11" t="n">
        <f aca="false">N41/12</f>
        <v>12566.6666666667</v>
      </c>
    </row>
    <row r="42" customFormat="false" ht="12.8" hidden="false" customHeight="false" outlineLevel="0" collapsed="false">
      <c r="A42" s="1" t="s">
        <v>70</v>
      </c>
      <c r="B42" s="1" t="n">
        <v>1000</v>
      </c>
      <c r="C42" s="1" t="s">
        <v>42</v>
      </c>
      <c r="M42" s="1" t="s">
        <v>71</v>
      </c>
      <c r="N42" s="1" t="n">
        <f aca="false">N38</f>
        <v>200</v>
      </c>
      <c r="O42" s="11" t="n">
        <f aca="false">N42/12</f>
        <v>16.6666666666667</v>
      </c>
    </row>
    <row r="43" customFormat="false" ht="12.8" hidden="false" customHeight="false" outlineLevel="0" collapsed="false">
      <c r="A43" s="1" t="s">
        <v>72</v>
      </c>
      <c r="B43" s="1" t="n">
        <v>0.2</v>
      </c>
      <c r="C43" s="1" t="s">
        <v>73</v>
      </c>
      <c r="M43" s="1" t="s">
        <v>74</v>
      </c>
      <c r="N43" s="1" t="n">
        <f aca="false">(N34+N35)*60+40*(N36+N37)</f>
        <v>640</v>
      </c>
      <c r="O43" s="11" t="n">
        <f aca="false">N43/12</f>
        <v>53.3333333333333</v>
      </c>
    </row>
    <row r="44" customFormat="false" ht="12.8" hidden="false" customHeight="false" outlineLevel="0" collapsed="false">
      <c r="A44" s="1" t="s">
        <v>75</v>
      </c>
      <c r="B44" s="11" t="n">
        <f aca="false">O41</f>
        <v>12566.6666666667</v>
      </c>
      <c r="C44" s="1" t="s">
        <v>76</v>
      </c>
      <c r="D44" s="1" t="s">
        <v>77</v>
      </c>
    </row>
    <row r="45" customFormat="false" ht="12.8" hidden="false" customHeight="false" outlineLevel="0" collapsed="false">
      <c r="A45" s="1" t="s">
        <v>78</v>
      </c>
      <c r="B45" s="11" t="n">
        <f aca="false">O42</f>
        <v>16.6666666666667</v>
      </c>
      <c r="C45" s="1" t="s">
        <v>79</v>
      </c>
      <c r="D45" s="1" t="s">
        <v>77</v>
      </c>
    </row>
    <row r="46" customFormat="false" ht="12.8" hidden="false" customHeight="false" outlineLevel="0" collapsed="false">
      <c r="A46" s="1" t="s">
        <v>80</v>
      </c>
      <c r="B46" s="11" t="n">
        <f aca="false">O43</f>
        <v>53.3333333333333</v>
      </c>
      <c r="C46" s="1" t="s">
        <v>79</v>
      </c>
      <c r="D46" s="1" t="s">
        <v>77</v>
      </c>
    </row>
    <row r="47" customFormat="false" ht="12.8" hidden="false" customHeight="false" outlineLevel="0" collapsed="false">
      <c r="A47" s="1" t="s">
        <v>81</v>
      </c>
      <c r="B47" s="11" t="n">
        <v>50</v>
      </c>
      <c r="C47" s="1" t="s">
        <v>82</v>
      </c>
    </row>
    <row r="48" customFormat="false" ht="12.8" hidden="false" customHeight="false" outlineLevel="0" collapsed="false">
      <c r="A48" s="1" t="s">
        <v>83</v>
      </c>
      <c r="B48" s="11" t="n">
        <v>55</v>
      </c>
      <c r="C48" s="1" t="s">
        <v>84</v>
      </c>
    </row>
    <row r="49" customFormat="false" ht="12.8" hidden="false" customHeight="false" outlineLevel="0" collapsed="false">
      <c r="A49" s="1" t="s">
        <v>85</v>
      </c>
      <c r="B49" s="1" t="n">
        <v>31</v>
      </c>
      <c r="C49" s="1" t="s">
        <v>86</v>
      </c>
      <c r="D49" s="1" t="s">
        <v>87</v>
      </c>
    </row>
    <row r="50" customFormat="false" ht="12.8" hidden="false" customHeight="false" outlineLevel="0" collapsed="false">
      <c r="A50" s="1" t="s">
        <v>88</v>
      </c>
      <c r="B50" s="1" t="n">
        <v>0.34</v>
      </c>
      <c r="C50" s="1" t="s">
        <v>89</v>
      </c>
      <c r="D50" s="1" t="s">
        <v>90</v>
      </c>
    </row>
    <row r="51" customFormat="false" ht="12.8" hidden="false" customHeight="false" outlineLevel="0" collapsed="false">
      <c r="A51" s="1" t="s">
        <v>91</v>
      </c>
      <c r="B51" s="1" t="n">
        <f aca="false">705000/(212000*10000)</f>
        <v>0.000332547169811321</v>
      </c>
      <c r="C51" s="1" t="s">
        <v>92</v>
      </c>
      <c r="D51" s="1" t="s">
        <v>93</v>
      </c>
    </row>
    <row r="52" customFormat="false" ht="12.8" hidden="false" customHeight="false" outlineLevel="0" collapsed="false">
      <c r="A52" s="1" t="s">
        <v>94</v>
      </c>
      <c r="B52" s="1" t="n">
        <v>94</v>
      </c>
      <c r="C52" s="1" t="s">
        <v>26</v>
      </c>
      <c r="D52" s="1" t="s">
        <v>95</v>
      </c>
    </row>
    <row r="53" customFormat="false" ht="12.8" hidden="false" customHeight="false" outlineLevel="0" collapsed="false">
      <c r="A53" s="12" t="s">
        <v>96</v>
      </c>
      <c r="B53" s="1" t="n">
        <v>136</v>
      </c>
      <c r="C53" s="1" t="s">
        <v>26</v>
      </c>
      <c r="D53" s="1" t="s">
        <v>95</v>
      </c>
    </row>
    <row r="54" customFormat="false" ht="12.8" hidden="false" customHeight="false" outlineLevel="0" collapsed="false">
      <c r="A54" s="1" t="s">
        <v>97</v>
      </c>
      <c r="B54" s="1" t="n">
        <v>107</v>
      </c>
      <c r="C54" s="1" t="s">
        <v>26</v>
      </c>
      <c r="D54" s="1" t="s">
        <v>98</v>
      </c>
    </row>
    <row r="55" customFormat="false" ht="12.8" hidden="false" customHeight="false" outlineLevel="0" collapsed="false">
      <c r="A55" s="1" t="s">
        <v>99</v>
      </c>
      <c r="B55" s="1" t="n">
        <v>70</v>
      </c>
      <c r="C55" s="1" t="s">
        <v>26</v>
      </c>
      <c r="D55" s="1" t="s">
        <v>98</v>
      </c>
    </row>
    <row r="56" customFormat="false" ht="12.8" hidden="false" customHeight="false" outlineLevel="0" collapsed="false">
      <c r="A56" s="1" t="s">
        <v>100</v>
      </c>
      <c r="B56" s="1" t="n">
        <v>66</v>
      </c>
      <c r="C56" s="1" t="s">
        <v>26</v>
      </c>
      <c r="D56" s="1" t="s">
        <v>101</v>
      </c>
    </row>
    <row r="57" customFormat="false" ht="12.8" hidden="false" customHeight="false" outlineLevel="0" collapsed="false">
      <c r="A57" s="1" t="s">
        <v>102</v>
      </c>
      <c r="B57" s="1" t="n">
        <v>56</v>
      </c>
      <c r="C57" s="1" t="s">
        <v>26</v>
      </c>
      <c r="D57" s="1" t="s">
        <v>101</v>
      </c>
    </row>
    <row r="58" customFormat="false" ht="12.8" hidden="false" customHeight="false" outlineLevel="0" collapsed="false">
      <c r="A58" s="1" t="s">
        <v>103</v>
      </c>
      <c r="B58" s="1" t="n">
        <v>19</v>
      </c>
      <c r="C58" s="1" t="s">
        <v>26</v>
      </c>
      <c r="D58" s="1" t="s">
        <v>101</v>
      </c>
    </row>
    <row r="59" customFormat="false" ht="12.8" hidden="false" customHeight="false" outlineLevel="0" collapsed="false">
      <c r="A59" s="1" t="s">
        <v>104</v>
      </c>
      <c r="B59" s="1" t="n">
        <v>24</v>
      </c>
      <c r="C59" s="1" t="s">
        <v>26</v>
      </c>
      <c r="D59" s="1" t="s">
        <v>101</v>
      </c>
    </row>
    <row r="60" customFormat="false" ht="12.8" hidden="false" customHeight="false" outlineLevel="0" collapsed="false">
      <c r="A60" s="1" t="s">
        <v>105</v>
      </c>
      <c r="B60" s="1" t="n">
        <f aca="false">15/10</f>
        <v>1.5</v>
      </c>
      <c r="C60" s="1" t="s">
        <v>106</v>
      </c>
      <c r="D60" s="1" t="s">
        <v>107</v>
      </c>
      <c r="F60" s="1" t="s">
        <v>108</v>
      </c>
    </row>
    <row r="61" customFormat="false" ht="12.8" hidden="false" customHeight="false" outlineLevel="0" collapsed="false">
      <c r="A61" s="1" t="s">
        <v>109</v>
      </c>
      <c r="B61" s="1" t="n">
        <v>41.2</v>
      </c>
      <c r="C61" s="1" t="s">
        <v>110</v>
      </c>
      <c r="D61" s="1" t="s">
        <v>111</v>
      </c>
    </row>
    <row r="62" customFormat="false" ht="12.8" hidden="false" customHeight="false" outlineLevel="0" collapsed="false">
      <c r="A62" s="1" t="s">
        <v>112</v>
      </c>
      <c r="B62" s="1" t="n">
        <v>31.4</v>
      </c>
      <c r="C62" s="1" t="s">
        <v>110</v>
      </c>
      <c r="D62" s="1" t="s">
        <v>113</v>
      </c>
    </row>
    <row r="63" customFormat="false" ht="12.8" hidden="false" customHeight="false" outlineLevel="0" collapsed="false">
      <c r="A63" s="1" t="s">
        <v>114</v>
      </c>
      <c r="B63" s="1" t="n">
        <v>10</v>
      </c>
      <c r="C63" s="1" t="s">
        <v>115</v>
      </c>
    </row>
    <row r="64" customFormat="false" ht="12.8" hidden="false" customHeight="false" outlineLevel="0" collapsed="false">
      <c r="A64" s="1" t="s">
        <v>116</v>
      </c>
      <c r="B64" s="1" t="n">
        <v>248</v>
      </c>
      <c r="C64" s="1" t="s">
        <v>117</v>
      </c>
      <c r="D64" s="1" t="s">
        <v>118</v>
      </c>
    </row>
    <row r="65" customFormat="false" ht="12.8" hidden="false" customHeight="false" outlineLevel="0" collapsed="false">
      <c r="A65" s="1" t="s">
        <v>119</v>
      </c>
      <c r="B65" s="1" t="n">
        <f aca="false">0.2/31</f>
        <v>0.00645161290322581</v>
      </c>
      <c r="C65" s="1" t="s">
        <v>120</v>
      </c>
      <c r="D65" s="9" t="s">
        <v>121</v>
      </c>
    </row>
    <row r="66" customFormat="false" ht="12.8" hidden="false" customHeight="false" outlineLevel="0" collapsed="false">
      <c r="A66" s="1" t="s">
        <v>122</v>
      </c>
      <c r="B66" s="1" t="n">
        <v>2</v>
      </c>
      <c r="C66" s="1" t="s">
        <v>38</v>
      </c>
    </row>
    <row r="67" customFormat="false" ht="12.8" hidden="false" customHeight="false" outlineLevel="0" collapsed="false">
      <c r="A67" s="1" t="s">
        <v>123</v>
      </c>
      <c r="B67" s="1" t="n">
        <v>0.7</v>
      </c>
      <c r="C67" s="12" t="s">
        <v>53</v>
      </c>
      <c r="D67" s="1" t="s">
        <v>124</v>
      </c>
    </row>
    <row r="71" customFormat="false" ht="12.8" hidden="false" customHeight="false" outlineLevel="0" collapsed="false">
      <c r="H71" s="1" t="n">
        <f aca="false">4*365</f>
        <v>1460</v>
      </c>
      <c r="K71" s="1" t="n">
        <f aca="false">200*464.919/131.791</f>
        <v>705.539832006738</v>
      </c>
    </row>
    <row r="72" customFormat="false" ht="12.8" hidden="false" customHeight="false" outlineLevel="0" collapsed="false">
      <c r="H72" s="1" t="n">
        <f aca="false">H71/1000</f>
        <v>1.46</v>
      </c>
    </row>
    <row r="73" customFormat="false" ht="12.8" hidden="false" customHeight="false" outlineLevel="0" collapsed="false">
      <c r="G73" s="1" t="n">
        <f aca="false">55/31</f>
        <v>1.7741935483871</v>
      </c>
    </row>
    <row r="77" customFormat="false" ht="12.8" hidden="false" customHeight="false" outlineLevel="0" collapsed="false">
      <c r="A77" s="1" t="s">
        <v>125</v>
      </c>
      <c r="B77" s="1" t="n">
        <v>10</v>
      </c>
    </row>
  </sheetData>
  <hyperlinks>
    <hyperlink ref="D36" r:id="rId1" display="https://www.insee.fr/fr/statistiques/3587175"/>
    <hyperlink ref="D37" r:id="rId2" display="https://www.insee.fr/fr/statistiques/3587175"/>
    <hyperlink ref="D65" r:id="rId3" display="https://www.lemonde.fr/blog/alternatives/2014/02/19/le-top-10-des-villes-les-plus-vertes-de-france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81" activeCellId="0" sqref="D8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4"/>
    <col collapsed="false" customWidth="true" hidden="false" outlineLevel="0" max="2" min="2" style="1" width="25.51"/>
    <col collapsed="false" customWidth="true" hidden="false" outlineLevel="0" max="4" min="4" style="1" width="22.72"/>
  </cols>
  <sheetData>
    <row r="1" customFormat="false" ht="13.8" hidden="false" customHeight="false" outlineLevel="0" collapsed="false">
      <c r="A1" s="12" t="s">
        <v>126</v>
      </c>
      <c r="B1" s="12" t="n">
        <v>20</v>
      </c>
      <c r="C1" s="13"/>
      <c r="D1" s="12"/>
      <c r="E1" s="12"/>
      <c r="F1" s="12"/>
      <c r="G1" s="12"/>
    </row>
    <row r="2" customFormat="false" ht="15" hidden="false" customHeight="false" outlineLevel="0" collapsed="false">
      <c r="A2" s="14" t="s">
        <v>127</v>
      </c>
      <c r="B2" s="14" t="s">
        <v>128</v>
      </c>
      <c r="C2" s="13"/>
      <c r="D2" s="12"/>
      <c r="E2" s="12"/>
      <c r="F2" s="12"/>
      <c r="G2" s="12"/>
    </row>
    <row r="3" customFormat="false" ht="13.8" hidden="false" customHeight="false" outlineLevel="0" collapsed="false">
      <c r="A3" s="12" t="s">
        <v>129</v>
      </c>
      <c r="B3" s="12" t="s">
        <v>130</v>
      </c>
      <c r="C3" s="13"/>
      <c r="D3" s="12"/>
      <c r="E3" s="12"/>
      <c r="F3" s="12"/>
      <c r="G3" s="12"/>
    </row>
    <row r="4" customFormat="false" ht="15" hidden="false" customHeight="false" outlineLevel="0" collapsed="false">
      <c r="A4" s="14"/>
      <c r="B4" s="14"/>
      <c r="C4" s="13"/>
      <c r="D4" s="12"/>
      <c r="E4" s="12"/>
      <c r="F4" s="12"/>
      <c r="G4" s="12"/>
    </row>
    <row r="5" customFormat="false" ht="15" hidden="false" customHeight="false" outlineLevel="0" collapsed="false">
      <c r="A5" s="14" t="s">
        <v>131</v>
      </c>
      <c r="B5" s="14" t="s">
        <v>132</v>
      </c>
      <c r="C5" s="13"/>
      <c r="D5" s="12"/>
      <c r="E5" s="12"/>
      <c r="F5" s="12"/>
      <c r="G5" s="12"/>
    </row>
    <row r="6" customFormat="false" ht="12.8" hidden="false" customHeight="false" outlineLevel="0" collapsed="false">
      <c r="A6" s="12" t="s">
        <v>133</v>
      </c>
      <c r="B6" s="12" t="s">
        <v>134</v>
      </c>
      <c r="C6" s="12"/>
      <c r="D6" s="12"/>
      <c r="E6" s="12"/>
      <c r="F6" s="12"/>
      <c r="G6" s="12"/>
    </row>
    <row r="7" customFormat="false" ht="13.8" hidden="false" customHeight="false" outlineLevel="0" collapsed="false">
      <c r="A7" s="12" t="s">
        <v>135</v>
      </c>
      <c r="B7" s="12" t="s">
        <v>132</v>
      </c>
      <c r="C7" s="13"/>
      <c r="D7" s="12"/>
      <c r="E7" s="12"/>
      <c r="F7" s="12"/>
      <c r="G7" s="12"/>
    </row>
    <row r="8" customFormat="false" ht="12.8" hidden="false" customHeight="false" outlineLevel="0" collapsed="false">
      <c r="A8" s="12" t="s">
        <v>136</v>
      </c>
      <c r="B8" s="12" t="s">
        <v>137</v>
      </c>
      <c r="C8" s="12"/>
      <c r="D8" s="12"/>
      <c r="E8" s="12"/>
      <c r="F8" s="12"/>
      <c r="G8" s="12"/>
    </row>
    <row r="9" customFormat="false" ht="12.8" hidden="false" customHeight="false" outlineLevel="0" collapsed="false">
      <c r="A9" s="12" t="s">
        <v>138</v>
      </c>
      <c r="B9" s="12" t="s">
        <v>139</v>
      </c>
      <c r="C9" s="12"/>
      <c r="D9" s="12"/>
      <c r="E9" s="12"/>
      <c r="F9" s="12"/>
      <c r="G9" s="12"/>
    </row>
    <row r="10" customFormat="false" ht="12.8" hidden="false" customHeight="false" outlineLevel="0" collapsed="false">
      <c r="A10" s="12" t="s">
        <v>140</v>
      </c>
      <c r="B10" s="12" t="n">
        <v>1</v>
      </c>
      <c r="C10" s="12"/>
      <c r="D10" s="12"/>
      <c r="E10" s="12"/>
      <c r="F10" s="12"/>
      <c r="G10" s="12"/>
    </row>
    <row r="11" customFormat="false" ht="12.8" hidden="false" customHeight="false" outlineLevel="0" collapsed="false">
      <c r="A11" s="12" t="s">
        <v>141</v>
      </c>
      <c r="B11" s="12" t="s">
        <v>142</v>
      </c>
      <c r="C11" s="12"/>
      <c r="D11" s="12"/>
      <c r="E11" s="12"/>
      <c r="F11" s="12"/>
      <c r="G11" s="12"/>
    </row>
    <row r="12" customFormat="false" ht="12.8" hidden="false" customHeight="false" outlineLevel="0" collapsed="false">
      <c r="A12" s="12" t="s">
        <v>143</v>
      </c>
      <c r="B12" s="12" t="s">
        <v>143</v>
      </c>
      <c r="C12" s="12"/>
      <c r="D12" s="12"/>
      <c r="E12" s="12"/>
      <c r="F12" s="12"/>
      <c r="G12" s="12"/>
    </row>
    <row r="13" customFormat="false" ht="15" hidden="false" customHeight="false" outlineLevel="0" collapsed="false">
      <c r="A13" s="14" t="s">
        <v>144</v>
      </c>
      <c r="B13" s="12"/>
      <c r="C13" s="12"/>
      <c r="D13" s="12"/>
      <c r="E13" s="12"/>
      <c r="F13" s="12"/>
      <c r="G13" s="12"/>
    </row>
    <row r="14" customFormat="false" ht="15" hidden="false" customHeight="false" outlineLevel="0" collapsed="false">
      <c r="A14" s="14" t="s">
        <v>145</v>
      </c>
      <c r="B14" s="14" t="s">
        <v>146</v>
      </c>
      <c r="C14" s="14" t="s">
        <v>143</v>
      </c>
      <c r="D14" s="14" t="s">
        <v>147</v>
      </c>
      <c r="E14" s="14" t="s">
        <v>133</v>
      </c>
      <c r="F14" s="14" t="s">
        <v>138</v>
      </c>
      <c r="G14" s="14" t="s">
        <v>141</v>
      </c>
      <c r="H14" s="15" t="s">
        <v>148</v>
      </c>
      <c r="I14" s="15" t="s">
        <v>149</v>
      </c>
      <c r="J14" s="15" t="s">
        <v>150</v>
      </c>
      <c r="K14" s="15" t="s">
        <v>151</v>
      </c>
      <c r="L14" s="15" t="s">
        <v>152</v>
      </c>
      <c r="M14" s="15" t="s">
        <v>153</v>
      </c>
    </row>
    <row r="15" customFormat="false" ht="12.8" hidden="false" customHeight="false" outlineLevel="0" collapsed="false">
      <c r="A15" s="12" t="s">
        <v>132</v>
      </c>
      <c r="B15" s="12" t="n">
        <v>1</v>
      </c>
      <c r="C15" s="12" t="s">
        <v>143</v>
      </c>
      <c r="D15" s="12" t="str">
        <f aca="false">$B$2</f>
        <v>archetypes_metabo</v>
      </c>
      <c r="E15" s="12" t="s">
        <v>134</v>
      </c>
      <c r="F15" s="12" t="s">
        <v>139</v>
      </c>
      <c r="G15" s="12" t="s">
        <v>154</v>
      </c>
    </row>
    <row r="16" customFormat="false" ht="12.8" hidden="false" customHeight="false" outlineLevel="0" collapsed="false">
      <c r="A16" s="12" t="s">
        <v>155</v>
      </c>
      <c r="B16" s="12" t="n">
        <v>520000</v>
      </c>
      <c r="C16" s="12" t="s">
        <v>156</v>
      </c>
      <c r="D16" s="12" t="str">
        <f aca="false">$B$2</f>
        <v>archetypes_metabo</v>
      </c>
      <c r="E16" s="12" t="s">
        <v>134</v>
      </c>
      <c r="F16" s="12" t="s">
        <v>139</v>
      </c>
      <c r="G16" s="12" t="s">
        <v>157</v>
      </c>
    </row>
    <row r="17" customFormat="false" ht="12.8" hidden="false" customHeight="false" outlineLevel="0" collapsed="false">
      <c r="A17" s="12" t="s">
        <v>158</v>
      </c>
      <c r="B17" s="12" t="n">
        <v>1065000</v>
      </c>
      <c r="C17" s="12" t="s">
        <v>156</v>
      </c>
      <c r="D17" s="12" t="str">
        <f aca="false">$B$2</f>
        <v>archetypes_metabo</v>
      </c>
      <c r="E17" s="12" t="s">
        <v>134</v>
      </c>
      <c r="F17" s="12" t="s">
        <v>139</v>
      </c>
      <c r="G17" s="12" t="s">
        <v>157</v>
      </c>
    </row>
    <row r="18" customFormat="false" ht="12.8" hidden="false" customHeight="false" outlineLevel="0" collapsed="false">
      <c r="A18" s="12" t="s">
        <v>159</v>
      </c>
      <c r="B18" s="1" t="n">
        <v>582000</v>
      </c>
      <c r="C18" s="12" t="s">
        <v>156</v>
      </c>
      <c r="D18" s="12" t="str">
        <f aca="false">$B$2</f>
        <v>archetypes_metabo</v>
      </c>
      <c r="E18" s="12" t="s">
        <v>134</v>
      </c>
      <c r="F18" s="12" t="s">
        <v>139</v>
      </c>
      <c r="G18" s="12" t="s">
        <v>157</v>
      </c>
    </row>
    <row r="19" customFormat="false" ht="12.8" hidden="false" customHeight="false" outlineLevel="0" collapsed="false">
      <c r="A19" s="12" t="s">
        <v>160</v>
      </c>
      <c r="B19" s="1" t="n">
        <v>100000</v>
      </c>
      <c r="C19" s="12" t="s">
        <v>156</v>
      </c>
      <c r="D19" s="12" t="str">
        <f aca="false">$B$2</f>
        <v>archetypes_metabo</v>
      </c>
      <c r="E19" s="12" t="s">
        <v>134</v>
      </c>
      <c r="F19" s="12" t="s">
        <v>139</v>
      </c>
      <c r="G19" s="12" t="s">
        <v>157</v>
      </c>
    </row>
    <row r="20" customFormat="false" ht="12.8" hidden="false" customHeight="false" outlineLevel="0" collapsed="false">
      <c r="A20" s="12" t="s">
        <v>161</v>
      </c>
      <c r="B20" s="1" t="n">
        <v>530000</v>
      </c>
      <c r="C20" s="12" t="s">
        <v>156</v>
      </c>
      <c r="D20" s="12" t="str">
        <f aca="false">$B$2</f>
        <v>archetypes_metabo</v>
      </c>
      <c r="E20" s="12" t="s">
        <v>134</v>
      </c>
      <c r="F20" s="12" t="s">
        <v>139</v>
      </c>
      <c r="G20" s="12" t="s">
        <v>157</v>
      </c>
    </row>
    <row r="21" customFormat="false" ht="15" hidden="false" customHeight="false" outlineLevel="0" collapsed="false">
      <c r="A21" s="14"/>
      <c r="B21" s="14"/>
      <c r="C21" s="13"/>
      <c r="D21" s="12"/>
      <c r="E21" s="12"/>
      <c r="F21" s="12"/>
      <c r="G21" s="12"/>
    </row>
    <row r="22" customFormat="false" ht="15" hidden="false" customHeight="false" outlineLevel="0" collapsed="false">
      <c r="A22" s="14" t="s">
        <v>131</v>
      </c>
      <c r="B22" s="14" t="s">
        <v>162</v>
      </c>
      <c r="C22" s="13"/>
      <c r="D22" s="12"/>
      <c r="E22" s="12"/>
      <c r="F22" s="12"/>
      <c r="G22" s="12"/>
    </row>
    <row r="23" customFormat="false" ht="12.8" hidden="false" customHeight="false" outlineLevel="0" collapsed="false">
      <c r="A23" s="12" t="s">
        <v>133</v>
      </c>
      <c r="B23" s="12" t="s">
        <v>134</v>
      </c>
      <c r="C23" s="12"/>
      <c r="D23" s="12"/>
      <c r="E23" s="12"/>
      <c r="F23" s="12"/>
      <c r="G23" s="12"/>
    </row>
    <row r="24" customFormat="false" ht="13.8" hidden="false" customHeight="false" outlineLevel="0" collapsed="false">
      <c r="A24" s="12" t="s">
        <v>135</v>
      </c>
      <c r="B24" s="12" t="s">
        <v>162</v>
      </c>
      <c r="C24" s="13"/>
      <c r="D24" s="12"/>
      <c r="E24" s="12"/>
      <c r="F24" s="12"/>
      <c r="G24" s="12"/>
    </row>
    <row r="25" customFormat="false" ht="12.8" hidden="false" customHeight="false" outlineLevel="0" collapsed="false">
      <c r="A25" s="12" t="s">
        <v>136</v>
      </c>
      <c r="B25" s="12" t="s">
        <v>137</v>
      </c>
      <c r="C25" s="12"/>
      <c r="D25" s="12"/>
      <c r="E25" s="12"/>
      <c r="F25" s="12"/>
      <c r="G25" s="12"/>
    </row>
    <row r="26" customFormat="false" ht="12.8" hidden="false" customHeight="false" outlineLevel="0" collapsed="false">
      <c r="A26" s="12" t="s">
        <v>138</v>
      </c>
      <c r="B26" s="12" t="s">
        <v>139</v>
      </c>
      <c r="C26" s="12"/>
      <c r="D26" s="12"/>
      <c r="E26" s="12"/>
      <c r="F26" s="12"/>
      <c r="G26" s="12"/>
    </row>
    <row r="27" customFormat="false" ht="12.8" hidden="false" customHeight="false" outlineLevel="0" collapsed="false">
      <c r="A27" s="12" t="s">
        <v>140</v>
      </c>
      <c r="B27" s="12" t="n">
        <v>1</v>
      </c>
      <c r="C27" s="12"/>
      <c r="D27" s="12"/>
      <c r="E27" s="12"/>
      <c r="F27" s="12"/>
      <c r="G27" s="12"/>
    </row>
    <row r="28" customFormat="false" ht="12.8" hidden="false" customHeight="false" outlineLevel="0" collapsed="false">
      <c r="A28" s="12" t="s">
        <v>141</v>
      </c>
      <c r="B28" s="12" t="s">
        <v>142</v>
      </c>
      <c r="C28" s="12"/>
      <c r="D28" s="12"/>
      <c r="E28" s="12"/>
      <c r="F28" s="12"/>
      <c r="G28" s="12"/>
    </row>
    <row r="29" customFormat="false" ht="12.8" hidden="false" customHeight="false" outlineLevel="0" collapsed="false">
      <c r="A29" s="12" t="s">
        <v>143</v>
      </c>
      <c r="B29" s="12" t="s">
        <v>143</v>
      </c>
      <c r="C29" s="12"/>
      <c r="D29" s="12"/>
      <c r="E29" s="12"/>
      <c r="F29" s="12"/>
      <c r="G29" s="12"/>
    </row>
    <row r="30" customFormat="false" ht="15" hidden="false" customHeight="false" outlineLevel="0" collapsed="false">
      <c r="A30" s="14" t="s">
        <v>144</v>
      </c>
      <c r="B30" s="12"/>
      <c r="C30" s="12"/>
      <c r="D30" s="12"/>
      <c r="E30" s="12"/>
      <c r="F30" s="12"/>
      <c r="G30" s="12"/>
    </row>
    <row r="31" customFormat="false" ht="15" hidden="false" customHeight="false" outlineLevel="0" collapsed="false">
      <c r="A31" s="14" t="s">
        <v>145</v>
      </c>
      <c r="B31" s="14" t="s">
        <v>146</v>
      </c>
      <c r="C31" s="14" t="s">
        <v>143</v>
      </c>
      <c r="D31" s="14" t="s">
        <v>147</v>
      </c>
      <c r="E31" s="14" t="s">
        <v>133</v>
      </c>
      <c r="F31" s="14" t="s">
        <v>138</v>
      </c>
      <c r="G31" s="14" t="s">
        <v>141</v>
      </c>
      <c r="H31" s="15" t="s">
        <v>148</v>
      </c>
      <c r="I31" s="15" t="s">
        <v>149</v>
      </c>
      <c r="J31" s="15" t="s">
        <v>150</v>
      </c>
      <c r="K31" s="15" t="s">
        <v>151</v>
      </c>
      <c r="L31" s="15" t="s">
        <v>152</v>
      </c>
      <c r="M31" s="15" t="s">
        <v>153</v>
      </c>
    </row>
    <row r="32" customFormat="false" ht="12.8" hidden="false" customHeight="false" outlineLevel="0" collapsed="false">
      <c r="A32" s="12" t="s">
        <v>162</v>
      </c>
      <c r="B32" s="12" t="n">
        <v>1</v>
      </c>
      <c r="C32" s="12" t="s">
        <v>143</v>
      </c>
      <c r="D32" s="12" t="str">
        <f aca="false">$B$2</f>
        <v>archetypes_metabo</v>
      </c>
      <c r="E32" s="12" t="s">
        <v>134</v>
      </c>
      <c r="F32" s="12" t="s">
        <v>139</v>
      </c>
      <c r="G32" s="12" t="s">
        <v>154</v>
      </c>
    </row>
    <row r="33" customFormat="false" ht="12.8" hidden="false" customHeight="false" outlineLevel="0" collapsed="false">
      <c r="A33" s="12" t="s">
        <v>155</v>
      </c>
      <c r="B33" s="12" t="n">
        <v>520000</v>
      </c>
      <c r="C33" s="12" t="s">
        <v>156</v>
      </c>
      <c r="D33" s="12" t="str">
        <f aca="false">$B$2</f>
        <v>archetypes_metabo</v>
      </c>
      <c r="E33" s="12" t="s">
        <v>134</v>
      </c>
      <c r="F33" s="12" t="s">
        <v>139</v>
      </c>
      <c r="G33" s="12" t="s">
        <v>157</v>
      </c>
    </row>
    <row r="34" customFormat="false" ht="12.8" hidden="false" customHeight="false" outlineLevel="0" collapsed="false">
      <c r="A34" s="12" t="s">
        <v>158</v>
      </c>
      <c r="B34" s="12" t="n">
        <v>1050000</v>
      </c>
      <c r="C34" s="12" t="s">
        <v>156</v>
      </c>
      <c r="D34" s="12" t="str">
        <f aca="false">$B$2</f>
        <v>archetypes_metabo</v>
      </c>
      <c r="E34" s="12" t="s">
        <v>134</v>
      </c>
      <c r="F34" s="12" t="s">
        <v>139</v>
      </c>
      <c r="G34" s="12" t="s">
        <v>157</v>
      </c>
    </row>
    <row r="35" customFormat="false" ht="12.8" hidden="false" customHeight="false" outlineLevel="0" collapsed="false">
      <c r="A35" s="12" t="s">
        <v>159</v>
      </c>
      <c r="B35" s="1" t="n">
        <f aca="false">(252+250+130+52)*1000</f>
        <v>684000</v>
      </c>
      <c r="C35" s="12" t="s">
        <v>156</v>
      </c>
      <c r="D35" s="12" t="str">
        <f aca="false">$B$2</f>
        <v>archetypes_metabo</v>
      </c>
      <c r="E35" s="12" t="s">
        <v>134</v>
      </c>
      <c r="F35" s="12" t="s">
        <v>139</v>
      </c>
      <c r="G35" s="12" t="s">
        <v>157</v>
      </c>
    </row>
    <row r="36" customFormat="false" ht="12.8" hidden="false" customHeight="false" outlineLevel="0" collapsed="false">
      <c r="A36" s="12" t="s">
        <v>160</v>
      </c>
      <c r="B36" s="1" t="n">
        <v>100000</v>
      </c>
      <c r="C36" s="12" t="s">
        <v>156</v>
      </c>
      <c r="D36" s="12" t="str">
        <f aca="false">$B$2</f>
        <v>archetypes_metabo</v>
      </c>
      <c r="E36" s="12" t="s">
        <v>134</v>
      </c>
      <c r="F36" s="12" t="s">
        <v>139</v>
      </c>
      <c r="G36" s="12" t="s">
        <v>157</v>
      </c>
    </row>
    <row r="37" customFormat="false" ht="12.8" hidden="false" customHeight="false" outlineLevel="0" collapsed="false">
      <c r="A37" s="12" t="s">
        <v>161</v>
      </c>
      <c r="B37" s="1" t="n">
        <v>80600</v>
      </c>
      <c r="C37" s="12" t="s">
        <v>156</v>
      </c>
      <c r="D37" s="12" t="str">
        <f aca="false">$B$2</f>
        <v>archetypes_metabo</v>
      </c>
      <c r="E37" s="12" t="s">
        <v>134</v>
      </c>
      <c r="F37" s="12" t="s">
        <v>139</v>
      </c>
      <c r="G37" s="12" t="s">
        <v>157</v>
      </c>
    </row>
    <row r="39" customFormat="false" ht="15" hidden="false" customHeight="false" outlineLevel="0" collapsed="false">
      <c r="A39" s="14" t="s">
        <v>131</v>
      </c>
      <c r="B39" s="14" t="s">
        <v>163</v>
      </c>
      <c r="C39" s="13"/>
      <c r="D39" s="12"/>
      <c r="E39" s="12"/>
      <c r="F39" s="12"/>
      <c r="G39" s="12"/>
    </row>
    <row r="40" customFormat="false" ht="12.8" hidden="false" customHeight="false" outlineLevel="0" collapsed="false">
      <c r="A40" s="12" t="s">
        <v>133</v>
      </c>
      <c r="B40" s="12" t="s">
        <v>134</v>
      </c>
      <c r="C40" s="12"/>
      <c r="D40" s="12"/>
      <c r="E40" s="12"/>
      <c r="F40" s="12"/>
      <c r="G40" s="12"/>
    </row>
    <row r="41" customFormat="false" ht="13.8" hidden="false" customHeight="false" outlineLevel="0" collapsed="false">
      <c r="A41" s="12" t="s">
        <v>135</v>
      </c>
      <c r="B41" s="12" t="s">
        <v>163</v>
      </c>
      <c r="C41" s="13"/>
      <c r="D41" s="12"/>
      <c r="E41" s="12"/>
      <c r="F41" s="12"/>
      <c r="G41" s="12"/>
    </row>
    <row r="42" customFormat="false" ht="12.8" hidden="false" customHeight="false" outlineLevel="0" collapsed="false">
      <c r="A42" s="12" t="s">
        <v>136</v>
      </c>
      <c r="B42" s="12" t="s">
        <v>137</v>
      </c>
      <c r="C42" s="12"/>
      <c r="D42" s="12"/>
      <c r="E42" s="12"/>
      <c r="F42" s="12"/>
      <c r="G42" s="12"/>
    </row>
    <row r="43" customFormat="false" ht="12.8" hidden="false" customHeight="false" outlineLevel="0" collapsed="false">
      <c r="A43" s="12" t="s">
        <v>138</v>
      </c>
      <c r="B43" s="12" t="s">
        <v>139</v>
      </c>
      <c r="C43" s="12"/>
      <c r="D43" s="12"/>
      <c r="E43" s="12"/>
      <c r="F43" s="12"/>
      <c r="G43" s="12"/>
    </row>
    <row r="44" customFormat="false" ht="12.8" hidden="false" customHeight="false" outlineLevel="0" collapsed="false">
      <c r="A44" s="12" t="s">
        <v>140</v>
      </c>
      <c r="B44" s="12" t="n">
        <v>1</v>
      </c>
      <c r="C44" s="12"/>
      <c r="D44" s="12"/>
      <c r="E44" s="12"/>
      <c r="F44" s="12"/>
      <c r="G44" s="12"/>
    </row>
    <row r="45" customFormat="false" ht="12.8" hidden="false" customHeight="false" outlineLevel="0" collapsed="false">
      <c r="A45" s="12" t="s">
        <v>141</v>
      </c>
      <c r="B45" s="12" t="s">
        <v>142</v>
      </c>
      <c r="C45" s="12"/>
      <c r="D45" s="12"/>
      <c r="E45" s="12"/>
      <c r="F45" s="12"/>
      <c r="G45" s="12"/>
    </row>
    <row r="46" customFormat="false" ht="12.8" hidden="false" customHeight="false" outlineLevel="0" collapsed="false">
      <c r="A46" s="12" t="s">
        <v>143</v>
      </c>
      <c r="B46" s="12" t="s">
        <v>143</v>
      </c>
      <c r="C46" s="12"/>
      <c r="D46" s="12"/>
      <c r="E46" s="12"/>
      <c r="F46" s="12"/>
      <c r="G46" s="12"/>
    </row>
    <row r="47" customFormat="false" ht="15" hidden="false" customHeight="false" outlineLevel="0" collapsed="false">
      <c r="A47" s="14" t="s">
        <v>144</v>
      </c>
      <c r="B47" s="12"/>
      <c r="C47" s="12"/>
      <c r="D47" s="12"/>
      <c r="E47" s="12"/>
      <c r="F47" s="12"/>
      <c r="G47" s="12"/>
    </row>
    <row r="48" customFormat="false" ht="15" hidden="false" customHeight="false" outlineLevel="0" collapsed="false">
      <c r="A48" s="14" t="s">
        <v>145</v>
      </c>
      <c r="B48" s="14" t="s">
        <v>146</v>
      </c>
      <c r="C48" s="14" t="s">
        <v>143</v>
      </c>
      <c r="D48" s="14" t="s">
        <v>147</v>
      </c>
      <c r="E48" s="14" t="s">
        <v>133</v>
      </c>
      <c r="F48" s="14" t="s">
        <v>138</v>
      </c>
      <c r="G48" s="14" t="s">
        <v>141</v>
      </c>
      <c r="H48" s="15" t="s">
        <v>148</v>
      </c>
      <c r="I48" s="15" t="s">
        <v>149</v>
      </c>
      <c r="J48" s="15" t="s">
        <v>150</v>
      </c>
      <c r="K48" s="15" t="s">
        <v>151</v>
      </c>
      <c r="L48" s="15" t="s">
        <v>152</v>
      </c>
      <c r="M48" s="15" t="s">
        <v>153</v>
      </c>
    </row>
    <row r="49" customFormat="false" ht="12.8" hidden="false" customHeight="false" outlineLevel="0" collapsed="false">
      <c r="A49" s="12" t="s">
        <v>163</v>
      </c>
      <c r="B49" s="12" t="n">
        <v>1</v>
      </c>
      <c r="C49" s="12" t="s">
        <v>143</v>
      </c>
      <c r="D49" s="12" t="str">
        <f aca="false">$B$2</f>
        <v>archetypes_metabo</v>
      </c>
      <c r="E49" s="12" t="s">
        <v>134</v>
      </c>
      <c r="F49" s="12" t="s">
        <v>139</v>
      </c>
      <c r="G49" s="12" t="s">
        <v>154</v>
      </c>
    </row>
    <row r="50" customFormat="false" ht="12.8" hidden="false" customHeight="false" outlineLevel="0" collapsed="false">
      <c r="A50" s="12" t="s">
        <v>155</v>
      </c>
      <c r="B50" s="12" t="n">
        <v>430000</v>
      </c>
      <c r="C50" s="12" t="s">
        <v>156</v>
      </c>
      <c r="D50" s="12" t="str">
        <f aca="false">$B$2</f>
        <v>archetypes_metabo</v>
      </c>
      <c r="E50" s="12" t="s">
        <v>134</v>
      </c>
      <c r="F50" s="12" t="s">
        <v>139</v>
      </c>
      <c r="G50" s="12" t="s">
        <v>157</v>
      </c>
    </row>
    <row r="51" customFormat="false" ht="12.8" hidden="false" customHeight="false" outlineLevel="0" collapsed="false">
      <c r="A51" s="12" t="s">
        <v>158</v>
      </c>
      <c r="B51" s="12" t="n">
        <v>850000</v>
      </c>
      <c r="C51" s="12" t="s">
        <v>156</v>
      </c>
      <c r="D51" s="12" t="str">
        <f aca="false">$B$2</f>
        <v>archetypes_metabo</v>
      </c>
      <c r="E51" s="12" t="s">
        <v>134</v>
      </c>
      <c r="F51" s="12" t="s">
        <v>139</v>
      </c>
      <c r="G51" s="12" t="s">
        <v>157</v>
      </c>
    </row>
    <row r="52" customFormat="false" ht="12.8" hidden="false" customHeight="false" outlineLevel="0" collapsed="false">
      <c r="A52" s="12" t="s">
        <v>159</v>
      </c>
      <c r="B52" s="1" t="n">
        <f aca="false">(405+250+210+55)*1000</f>
        <v>920000</v>
      </c>
      <c r="C52" s="12" t="s">
        <v>156</v>
      </c>
      <c r="D52" s="12" t="str">
        <f aca="false">$B$2</f>
        <v>archetypes_metabo</v>
      </c>
      <c r="E52" s="12" t="s">
        <v>134</v>
      </c>
      <c r="F52" s="12" t="s">
        <v>139</v>
      </c>
      <c r="G52" s="12" t="s">
        <v>157</v>
      </c>
    </row>
    <row r="53" customFormat="false" ht="12.8" hidden="false" customHeight="false" outlineLevel="0" collapsed="false">
      <c r="A53" s="12" t="s">
        <v>160</v>
      </c>
      <c r="B53" s="1" t="n">
        <v>100000</v>
      </c>
      <c r="C53" s="12" t="s">
        <v>156</v>
      </c>
      <c r="D53" s="12" t="str">
        <f aca="false">$B$2</f>
        <v>archetypes_metabo</v>
      </c>
      <c r="E53" s="12" t="s">
        <v>134</v>
      </c>
      <c r="F53" s="12" t="s">
        <v>139</v>
      </c>
      <c r="G53" s="12" t="s">
        <v>157</v>
      </c>
    </row>
    <row r="54" customFormat="false" ht="12.8" hidden="false" customHeight="false" outlineLevel="0" collapsed="false">
      <c r="A54" s="12" t="s">
        <v>161</v>
      </c>
      <c r="B54" s="1" t="n">
        <v>98000</v>
      </c>
      <c r="C54" s="12" t="s">
        <v>156</v>
      </c>
      <c r="D54" s="12" t="str">
        <f aca="false">$B$2</f>
        <v>archetypes_metabo</v>
      </c>
      <c r="E54" s="12" t="s">
        <v>134</v>
      </c>
      <c r="F54" s="12" t="s">
        <v>139</v>
      </c>
      <c r="G54" s="12" t="s">
        <v>157</v>
      </c>
    </row>
    <row r="56" customFormat="false" ht="15" hidden="false" customHeight="false" outlineLevel="0" collapsed="false">
      <c r="A56" s="14" t="s">
        <v>131</v>
      </c>
      <c r="B56" s="14" t="s">
        <v>164</v>
      </c>
      <c r="C56" s="13"/>
      <c r="D56" s="12"/>
      <c r="E56" s="12"/>
      <c r="F56" s="12"/>
      <c r="G56" s="12"/>
    </row>
    <row r="57" customFormat="false" ht="12.8" hidden="false" customHeight="false" outlineLevel="0" collapsed="false">
      <c r="A57" s="12" t="s">
        <v>133</v>
      </c>
      <c r="B57" s="12" t="s">
        <v>134</v>
      </c>
      <c r="C57" s="12"/>
      <c r="D57" s="12"/>
      <c r="E57" s="12"/>
      <c r="F57" s="12"/>
      <c r="G57" s="12"/>
    </row>
    <row r="58" customFormat="false" ht="13.8" hidden="false" customHeight="false" outlineLevel="0" collapsed="false">
      <c r="A58" s="12" t="s">
        <v>135</v>
      </c>
      <c r="B58" s="12" t="s">
        <v>164</v>
      </c>
      <c r="C58" s="13"/>
      <c r="D58" s="12"/>
      <c r="E58" s="12"/>
      <c r="F58" s="12"/>
      <c r="G58" s="12"/>
    </row>
    <row r="59" customFormat="false" ht="12.8" hidden="false" customHeight="false" outlineLevel="0" collapsed="false">
      <c r="A59" s="12" t="s">
        <v>136</v>
      </c>
      <c r="B59" s="12" t="s">
        <v>137</v>
      </c>
      <c r="C59" s="12"/>
      <c r="D59" s="12"/>
      <c r="E59" s="12"/>
      <c r="F59" s="12"/>
      <c r="G59" s="12"/>
    </row>
    <row r="60" customFormat="false" ht="12.8" hidden="false" customHeight="false" outlineLevel="0" collapsed="false">
      <c r="A60" s="12" t="s">
        <v>138</v>
      </c>
      <c r="B60" s="12" t="s">
        <v>139</v>
      </c>
      <c r="C60" s="12"/>
      <c r="D60" s="12"/>
      <c r="E60" s="12"/>
      <c r="F60" s="12"/>
      <c r="G60" s="12"/>
    </row>
    <row r="61" customFormat="false" ht="12.8" hidden="false" customHeight="false" outlineLevel="0" collapsed="false">
      <c r="A61" s="12" t="s">
        <v>140</v>
      </c>
      <c r="B61" s="12" t="n">
        <v>1</v>
      </c>
      <c r="C61" s="12"/>
      <c r="D61" s="12"/>
      <c r="E61" s="12"/>
      <c r="F61" s="12"/>
      <c r="G61" s="12"/>
    </row>
    <row r="62" customFormat="false" ht="12.8" hidden="false" customHeight="false" outlineLevel="0" collapsed="false">
      <c r="A62" s="12" t="s">
        <v>141</v>
      </c>
      <c r="B62" s="12" t="s">
        <v>142</v>
      </c>
      <c r="C62" s="12"/>
      <c r="D62" s="12"/>
      <c r="E62" s="12"/>
      <c r="F62" s="12"/>
      <c r="G62" s="12"/>
    </row>
    <row r="63" customFormat="false" ht="12.8" hidden="false" customHeight="false" outlineLevel="0" collapsed="false">
      <c r="A63" s="12" t="s">
        <v>143</v>
      </c>
      <c r="B63" s="12" t="s">
        <v>143</v>
      </c>
      <c r="C63" s="12"/>
      <c r="D63" s="12"/>
      <c r="E63" s="12"/>
      <c r="F63" s="12"/>
      <c r="G63" s="12"/>
    </row>
    <row r="64" customFormat="false" ht="15" hidden="false" customHeight="false" outlineLevel="0" collapsed="false">
      <c r="A64" s="14" t="s">
        <v>144</v>
      </c>
      <c r="B64" s="12"/>
      <c r="C64" s="12"/>
      <c r="D64" s="12"/>
      <c r="E64" s="12"/>
      <c r="F64" s="12"/>
      <c r="G64" s="12"/>
    </row>
    <row r="65" customFormat="false" ht="15" hidden="false" customHeight="false" outlineLevel="0" collapsed="false">
      <c r="A65" s="14" t="s">
        <v>145</v>
      </c>
      <c r="B65" s="14" t="s">
        <v>146</v>
      </c>
      <c r="C65" s="14" t="s">
        <v>143</v>
      </c>
      <c r="D65" s="14" t="s">
        <v>147</v>
      </c>
      <c r="E65" s="14" t="s">
        <v>133</v>
      </c>
      <c r="F65" s="14" t="s">
        <v>138</v>
      </c>
      <c r="G65" s="14" t="s">
        <v>141</v>
      </c>
      <c r="H65" s="15" t="s">
        <v>165</v>
      </c>
      <c r="I65" s="15" t="s">
        <v>149</v>
      </c>
      <c r="J65" s="15" t="s">
        <v>150</v>
      </c>
      <c r="K65" s="15" t="s">
        <v>151</v>
      </c>
      <c r="L65" s="15" t="s">
        <v>152</v>
      </c>
      <c r="M65" s="15" t="s">
        <v>153</v>
      </c>
    </row>
    <row r="66" customFormat="false" ht="12.8" hidden="false" customHeight="false" outlineLevel="0" collapsed="false">
      <c r="A66" s="12" t="s">
        <v>164</v>
      </c>
      <c r="B66" s="12" t="n">
        <v>1</v>
      </c>
      <c r="C66" s="12" t="s">
        <v>143</v>
      </c>
      <c r="D66" s="12" t="str">
        <f aca="false">$B$2</f>
        <v>archetypes_metabo</v>
      </c>
      <c r="E66" s="12" t="s">
        <v>134</v>
      </c>
      <c r="F66" s="12" t="s">
        <v>139</v>
      </c>
      <c r="G66" s="12" t="s">
        <v>154</v>
      </c>
    </row>
    <row r="67" customFormat="false" ht="12.8" hidden="false" customHeight="false" outlineLevel="0" collapsed="false">
      <c r="A67" s="12" t="s">
        <v>155</v>
      </c>
      <c r="B67" s="12" t="n">
        <v>585000</v>
      </c>
      <c r="C67" s="12" t="s">
        <v>156</v>
      </c>
      <c r="D67" s="12" t="str">
        <f aca="false">$B$2</f>
        <v>archetypes_metabo</v>
      </c>
      <c r="E67" s="12" t="s">
        <v>134</v>
      </c>
      <c r="F67" s="12" t="s">
        <v>139</v>
      </c>
      <c r="G67" s="12" t="s">
        <v>157</v>
      </c>
    </row>
    <row r="68" customFormat="false" ht="12.8" hidden="false" customHeight="false" outlineLevel="0" collapsed="false">
      <c r="A68" s="12" t="s">
        <v>158</v>
      </c>
      <c r="B68" s="12" t="n">
        <v>895000</v>
      </c>
      <c r="C68" s="12" t="s">
        <v>156</v>
      </c>
      <c r="D68" s="12" t="str">
        <f aca="false">$B$2</f>
        <v>archetypes_metabo</v>
      </c>
      <c r="E68" s="12" t="s">
        <v>134</v>
      </c>
      <c r="F68" s="12" t="s">
        <v>139</v>
      </c>
      <c r="G68" s="12" t="s">
        <v>157</v>
      </c>
    </row>
    <row r="69" customFormat="false" ht="12.8" hidden="false" customHeight="false" outlineLevel="0" collapsed="false">
      <c r="A69" s="12" t="s">
        <v>159</v>
      </c>
      <c r="B69" s="1" t="n">
        <f aca="false">(405+250+210+55)*1000</f>
        <v>920000</v>
      </c>
      <c r="C69" s="12" t="s">
        <v>156</v>
      </c>
      <c r="D69" s="12" t="str">
        <f aca="false">$B$2</f>
        <v>archetypes_metabo</v>
      </c>
      <c r="E69" s="12" t="s">
        <v>134</v>
      </c>
      <c r="F69" s="12" t="s">
        <v>139</v>
      </c>
      <c r="G69" s="12" t="s">
        <v>157</v>
      </c>
    </row>
    <row r="70" customFormat="false" ht="12.8" hidden="false" customHeight="false" outlineLevel="0" collapsed="false">
      <c r="A70" s="12" t="s">
        <v>160</v>
      </c>
      <c r="B70" s="1" t="n">
        <v>100000</v>
      </c>
      <c r="C70" s="12" t="s">
        <v>156</v>
      </c>
      <c r="D70" s="12" t="str">
        <f aca="false">$B$2</f>
        <v>archetypes_metabo</v>
      </c>
      <c r="E70" s="12" t="s">
        <v>134</v>
      </c>
      <c r="F70" s="12" t="s">
        <v>139</v>
      </c>
      <c r="G70" s="12" t="s">
        <v>157</v>
      </c>
    </row>
    <row r="71" customFormat="false" ht="12.8" hidden="false" customHeight="false" outlineLevel="0" collapsed="false">
      <c r="A71" s="12" t="s">
        <v>161</v>
      </c>
      <c r="B71" s="1" t="n">
        <v>100000</v>
      </c>
      <c r="C71" s="12" t="s">
        <v>156</v>
      </c>
      <c r="D71" s="12" t="str">
        <f aca="false">$B$2</f>
        <v>archetypes_metabo</v>
      </c>
      <c r="E71" s="12" t="s">
        <v>134</v>
      </c>
      <c r="F71" s="12" t="s">
        <v>139</v>
      </c>
      <c r="G71" s="12" t="s">
        <v>157</v>
      </c>
    </row>
    <row r="72" customFormat="false" ht="12.8" hidden="false" customHeight="false" outlineLevel="0" collapsed="false">
      <c r="E72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0"/>
  <sheetViews>
    <sheetView showFormulas="false" showGridLines="true" showRowColHeaders="true" showZeros="true" rightToLeft="false" tabSelected="false" showOutlineSymbols="true" defaultGridColor="true" view="normal" topLeftCell="A16" colorId="64" zoomScale="90" zoomScaleNormal="90" zoomScalePageLayoutView="100" workbookViewId="0">
      <selection pane="topLeft" activeCell="B28" activeCellId="0" sqref="B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8"/>
    <col collapsed="false" customWidth="true" hidden="false" outlineLevel="0" max="2" min="2" style="1" width="34.62"/>
    <col collapsed="false" customWidth="true" hidden="false" outlineLevel="0" max="3" min="3" style="1" width="24.58"/>
    <col collapsed="false" customWidth="true" hidden="false" outlineLevel="0" max="6" min="6" style="1" width="24.2"/>
    <col collapsed="false" customWidth="true" hidden="false" outlineLevel="0" max="8" min="8" style="1" width="18.39"/>
  </cols>
  <sheetData>
    <row r="1" customFormat="false" ht="12.8" hidden="false" customHeight="false" outlineLevel="0" collapsed="false">
      <c r="A1" s="1" t="s">
        <v>0</v>
      </c>
    </row>
    <row r="2" customFormat="false" ht="15" hidden="false" customHeight="false" outlineLevel="0" collapsed="false">
      <c r="A2" s="14" t="s">
        <v>131</v>
      </c>
      <c r="B2" s="14" t="s">
        <v>166</v>
      </c>
      <c r="C2" s="13" t="s">
        <v>167</v>
      </c>
      <c r="D2" s="12"/>
      <c r="E2" s="12"/>
      <c r="F2" s="12"/>
      <c r="G2" s="12"/>
    </row>
    <row r="3" customFormat="false" ht="12.8" hidden="false" customHeight="false" outlineLevel="0" collapsed="false">
      <c r="A3" s="12" t="s">
        <v>133</v>
      </c>
      <c r="B3" s="12" t="s">
        <v>168</v>
      </c>
      <c r="C3" s="12"/>
      <c r="D3" s="12"/>
      <c r="E3" s="12"/>
      <c r="F3" s="12"/>
      <c r="G3" s="12"/>
    </row>
    <row r="4" customFormat="false" ht="13.8" hidden="false" customHeight="false" outlineLevel="0" collapsed="false">
      <c r="A4" s="12" t="s">
        <v>135</v>
      </c>
      <c r="B4" s="12" t="s">
        <v>169</v>
      </c>
      <c r="C4" s="13" t="s">
        <v>170</v>
      </c>
      <c r="D4" s="12"/>
      <c r="E4" s="12"/>
      <c r="F4" s="12"/>
      <c r="G4" s="12"/>
    </row>
    <row r="5" customFormat="false" ht="12.8" hidden="false" customHeight="false" outlineLevel="0" collapsed="false">
      <c r="A5" s="12" t="s">
        <v>136</v>
      </c>
      <c r="B5" s="12" t="s">
        <v>171</v>
      </c>
      <c r="C5" s="12"/>
      <c r="D5" s="12"/>
      <c r="E5" s="12"/>
      <c r="F5" s="12"/>
      <c r="G5" s="12"/>
    </row>
    <row r="6" customFormat="false" ht="12.8" hidden="false" customHeight="false" outlineLevel="0" collapsed="false">
      <c r="A6" s="12" t="s">
        <v>138</v>
      </c>
      <c r="B6" s="12" t="s">
        <v>139</v>
      </c>
      <c r="C6" s="12"/>
      <c r="D6" s="12"/>
      <c r="E6" s="12"/>
      <c r="F6" s="12"/>
      <c r="G6" s="12"/>
    </row>
    <row r="7" customFormat="false" ht="12.8" hidden="false" customHeight="false" outlineLevel="0" collapsed="false">
      <c r="A7" s="12" t="s">
        <v>140</v>
      </c>
      <c r="B7" s="12" t="n">
        <v>1</v>
      </c>
      <c r="C7" s="12"/>
      <c r="D7" s="12"/>
      <c r="E7" s="12"/>
      <c r="F7" s="12"/>
      <c r="G7" s="12"/>
    </row>
    <row r="8" customFormat="false" ht="12.8" hidden="false" customHeight="false" outlineLevel="0" collapsed="false">
      <c r="A8" s="12" t="s">
        <v>141</v>
      </c>
      <c r="B8" s="12" t="s">
        <v>142</v>
      </c>
      <c r="C8" s="12"/>
      <c r="D8" s="12"/>
      <c r="E8" s="12"/>
      <c r="F8" s="12"/>
      <c r="G8" s="12"/>
    </row>
    <row r="9" customFormat="false" ht="12.8" hidden="false" customHeight="false" outlineLevel="0" collapsed="false">
      <c r="A9" s="12" t="s">
        <v>143</v>
      </c>
      <c r="B9" s="12" t="s">
        <v>156</v>
      </c>
      <c r="C9" s="12"/>
      <c r="D9" s="12"/>
      <c r="E9" s="12"/>
      <c r="F9" s="12"/>
      <c r="G9" s="12"/>
    </row>
    <row r="10" customFormat="false" ht="15" hidden="false" customHeight="false" outlineLevel="0" collapsed="false">
      <c r="A10" s="14" t="s">
        <v>144</v>
      </c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14" t="s">
        <v>145</v>
      </c>
      <c r="B11" s="14" t="s">
        <v>146</v>
      </c>
      <c r="C11" s="14" t="s">
        <v>143</v>
      </c>
      <c r="D11" s="14" t="s">
        <v>147</v>
      </c>
      <c r="E11" s="14" t="s">
        <v>133</v>
      </c>
      <c r="F11" s="14" t="s">
        <v>138</v>
      </c>
      <c r="G11" s="14" t="s">
        <v>141</v>
      </c>
      <c r="H11" s="15" t="s">
        <v>148</v>
      </c>
      <c r="I11" s="15" t="s">
        <v>149</v>
      </c>
      <c r="J11" s="15" t="s">
        <v>150</v>
      </c>
      <c r="K11" s="15" t="s">
        <v>151</v>
      </c>
      <c r="L11" s="15" t="s">
        <v>152</v>
      </c>
      <c r="M11" s="15" t="s">
        <v>153</v>
      </c>
    </row>
    <row r="12" customFormat="false" ht="12.8" hidden="false" customHeight="false" outlineLevel="0" collapsed="false">
      <c r="A12" s="12" t="s">
        <v>166</v>
      </c>
      <c r="B12" s="16" t="n">
        <v>1</v>
      </c>
      <c r="C12" s="17" t="s">
        <v>156</v>
      </c>
      <c r="D12" s="12" t="str">
        <f aca="false">Projects!$B$2</f>
        <v>archetypes_metabo</v>
      </c>
      <c r="E12" s="12" t="s">
        <v>168</v>
      </c>
      <c r="F12" s="17" t="s">
        <v>139</v>
      </c>
      <c r="G12" s="12" t="s">
        <v>154</v>
      </c>
    </row>
    <row r="13" customFormat="false" ht="12.8" hidden="false" customHeight="false" outlineLevel="0" collapsed="false">
      <c r="A13" s="12" t="s">
        <v>172</v>
      </c>
      <c r="B13" s="16" t="n">
        <f aca="false">Source!C10</f>
        <v>601.524070698071</v>
      </c>
      <c r="C13" s="17" t="s">
        <v>173</v>
      </c>
      <c r="D13" s="12" t="str">
        <f aca="false">Projects!$B$2</f>
        <v>archetypes_metabo</v>
      </c>
      <c r="E13" s="12" t="s">
        <v>168</v>
      </c>
      <c r="F13" s="17" t="s">
        <v>139</v>
      </c>
      <c r="G13" s="12" t="s">
        <v>157</v>
      </c>
      <c r="H13" s="1" t="n">
        <f aca="false">IF(B13=0,0,3)</f>
        <v>3</v>
      </c>
      <c r="I13" s="16" t="n">
        <f aca="false">IF(B13&gt;0,B13,"")</f>
        <v>601.524070698071</v>
      </c>
      <c r="J13" s="16" t="n">
        <f aca="false">IF(I13="","",I13*Source!$B$77)</f>
        <v>6015.24070698071</v>
      </c>
      <c r="L13" s="1" t="n">
        <f aca="false">IF(I13="","",0)</f>
        <v>0</v>
      </c>
    </row>
    <row r="14" customFormat="false" ht="12.8" hidden="false" customHeight="false" outlineLevel="0" collapsed="false">
      <c r="A14" s="12" t="s">
        <v>174</v>
      </c>
      <c r="B14" s="16" t="n">
        <f aca="false">Source!C11</f>
        <v>39.8667930419924</v>
      </c>
      <c r="C14" s="17" t="s">
        <v>173</v>
      </c>
      <c r="D14" s="12" t="str">
        <f aca="false">Projects!$B$2</f>
        <v>archetypes_metabo</v>
      </c>
      <c r="E14" s="12" t="s">
        <v>168</v>
      </c>
      <c r="F14" s="17" t="s">
        <v>139</v>
      </c>
      <c r="G14" s="12" t="s">
        <v>157</v>
      </c>
      <c r="H14" s="1" t="n">
        <f aca="false">IF(B14=0,0,3)</f>
        <v>3</v>
      </c>
      <c r="I14" s="16" t="n">
        <f aca="false">IF(B14&gt;0,B14,"")</f>
        <v>39.8667930419924</v>
      </c>
      <c r="J14" s="16" t="n">
        <f aca="false">IF(I14="","",I14*Source!$B$77)</f>
        <v>398.667930419924</v>
      </c>
      <c r="L14" s="1" t="n">
        <f aca="false">IF(I14="","",0)</f>
        <v>0</v>
      </c>
    </row>
    <row r="15" customFormat="false" ht="12.8" hidden="false" customHeight="false" outlineLevel="0" collapsed="false">
      <c r="A15" s="12" t="s">
        <v>175</v>
      </c>
      <c r="B15" s="16" t="n">
        <f aca="false">Source!C12</f>
        <v>25.464796448149</v>
      </c>
      <c r="C15" s="17" t="s">
        <v>173</v>
      </c>
      <c r="D15" s="12" t="str">
        <f aca="false">Projects!$B$2</f>
        <v>archetypes_metabo</v>
      </c>
      <c r="E15" s="12" t="s">
        <v>168</v>
      </c>
      <c r="F15" s="17" t="s">
        <v>139</v>
      </c>
      <c r="G15" s="12" t="s">
        <v>157</v>
      </c>
      <c r="H15" s="1" t="n">
        <f aca="false">IF(B15=0,0,3)</f>
        <v>3</v>
      </c>
      <c r="I15" s="16" t="n">
        <f aca="false">IF(B15&gt;0,B15,"")</f>
        <v>25.464796448149</v>
      </c>
      <c r="J15" s="16" t="n">
        <f aca="false">IF(I15="","",I15*Source!$B$77)</f>
        <v>254.64796448149</v>
      </c>
      <c r="L15" s="1" t="n">
        <f aca="false">IF(I15="","",0)</f>
        <v>0</v>
      </c>
    </row>
    <row r="16" customFormat="false" ht="12.8" hidden="false" customHeight="false" outlineLevel="0" collapsed="false">
      <c r="A16" s="17" t="s">
        <v>176</v>
      </c>
      <c r="B16" s="16" t="n">
        <f aca="false">Source!C13</f>
        <v>22.6026498676353</v>
      </c>
      <c r="C16" s="17" t="s">
        <v>173</v>
      </c>
      <c r="D16" s="12" t="str">
        <f aca="false">Projects!$B$2</f>
        <v>archetypes_metabo</v>
      </c>
      <c r="E16" s="12" t="s">
        <v>168</v>
      </c>
      <c r="F16" s="17" t="s">
        <v>139</v>
      </c>
      <c r="G16" s="12" t="s">
        <v>157</v>
      </c>
      <c r="H16" s="1" t="n">
        <f aca="false">IF(B16=0,0,3)</f>
        <v>3</v>
      </c>
      <c r="I16" s="16" t="n">
        <f aca="false">IF(B16&gt;0,B16,"")</f>
        <v>22.6026498676353</v>
      </c>
      <c r="J16" s="16" t="n">
        <f aca="false">IF(I16="","",I16*Source!$B$77)</f>
        <v>226.026498676353</v>
      </c>
      <c r="L16" s="1" t="n">
        <f aca="false">IF(I16="","",0)</f>
        <v>0</v>
      </c>
    </row>
    <row r="17" customFormat="false" ht="12.8" hidden="false" customHeight="false" outlineLevel="0" collapsed="false">
      <c r="A17" s="17" t="s">
        <v>177</v>
      </c>
      <c r="B17" s="16" t="n">
        <f aca="false">Source!C14</f>
        <v>28.9891082338888</v>
      </c>
      <c r="C17" s="17" t="s">
        <v>173</v>
      </c>
      <c r="D17" s="12" t="str">
        <f aca="false">Projects!$B$2</f>
        <v>archetypes_metabo</v>
      </c>
      <c r="E17" s="12" t="s">
        <v>168</v>
      </c>
      <c r="F17" s="17" t="s">
        <v>139</v>
      </c>
      <c r="G17" s="12" t="s">
        <v>157</v>
      </c>
      <c r="H17" s="1" t="n">
        <f aca="false">IF(B17=0,0,3)</f>
        <v>3</v>
      </c>
      <c r="I17" s="16" t="n">
        <f aca="false">IF(B17&gt;0,B17,"")</f>
        <v>28.9891082338888</v>
      </c>
      <c r="J17" s="16" t="n">
        <f aca="false">IF(I17="","",I17*Source!$B$77)</f>
        <v>289.891082338888</v>
      </c>
      <c r="L17" s="1" t="n">
        <f aca="false">IF(I17="","",0)</f>
        <v>0</v>
      </c>
    </row>
    <row r="18" customFormat="false" ht="12.8" hidden="false" customHeight="false" outlineLevel="0" collapsed="false">
      <c r="A18" s="17" t="s">
        <v>178</v>
      </c>
      <c r="B18" s="16" t="n">
        <f aca="false">Source!C15</f>
        <v>0.38581376312441</v>
      </c>
      <c r="C18" s="17" t="s">
        <v>173</v>
      </c>
      <c r="D18" s="12" t="str">
        <f aca="false">Projects!$B$2</f>
        <v>archetypes_metabo</v>
      </c>
      <c r="E18" s="12" t="s">
        <v>168</v>
      </c>
      <c r="F18" s="17" t="s">
        <v>139</v>
      </c>
      <c r="G18" s="12" t="s">
        <v>157</v>
      </c>
      <c r="H18" s="1" t="n">
        <f aca="false">IF(B18=0,0,3)</f>
        <v>3</v>
      </c>
      <c r="I18" s="16" t="n">
        <f aca="false">IF(B18&gt;0,B18,"")</f>
        <v>0.38581376312441</v>
      </c>
      <c r="J18" s="16" t="n">
        <f aca="false">IF(I18="","",I18*Source!$B$77)</f>
        <v>3.8581376312441</v>
      </c>
      <c r="L18" s="1" t="n">
        <f aca="false">IF(I18="","",0)</f>
        <v>0</v>
      </c>
    </row>
    <row r="19" customFormat="false" ht="12.8" hidden="false" customHeight="false" outlineLevel="0" collapsed="false">
      <c r="A19" s="17" t="s">
        <v>179</v>
      </c>
      <c r="B19" s="16" t="n">
        <f aca="false">Source!C16</f>
        <v>4.94460482115191</v>
      </c>
      <c r="C19" s="17" t="s">
        <v>173</v>
      </c>
      <c r="D19" s="12" t="str">
        <f aca="false">Projects!$B$2</f>
        <v>archetypes_metabo</v>
      </c>
      <c r="E19" s="12" t="s">
        <v>168</v>
      </c>
      <c r="F19" s="17" t="s">
        <v>139</v>
      </c>
      <c r="G19" s="12" t="s">
        <v>157</v>
      </c>
      <c r="H19" s="1" t="n">
        <f aca="false">IF(B19=0,0,3)</f>
        <v>3</v>
      </c>
      <c r="I19" s="16" t="n">
        <f aca="false">IF(B19&gt;0,B19,"")</f>
        <v>4.94460482115191</v>
      </c>
      <c r="J19" s="16" t="n">
        <f aca="false">IF(I19="","",I19*Source!$B$77)</f>
        <v>49.4460482115191</v>
      </c>
      <c r="L19" s="1" t="n">
        <f aca="false">IF(I19="","",0)</f>
        <v>0</v>
      </c>
    </row>
    <row r="20" customFormat="false" ht="12.8" hidden="false" customHeight="false" outlineLevel="0" collapsed="false">
      <c r="A20" s="17" t="s">
        <v>180</v>
      </c>
      <c r="B20" s="16" t="n">
        <f aca="false">Source!C17</f>
        <v>0.991840986634935</v>
      </c>
      <c r="C20" s="17" t="s">
        <v>173</v>
      </c>
      <c r="D20" s="12" t="str">
        <f aca="false">Projects!$B$2</f>
        <v>archetypes_metabo</v>
      </c>
      <c r="E20" s="12" t="s">
        <v>168</v>
      </c>
      <c r="F20" s="17" t="s">
        <v>139</v>
      </c>
      <c r="G20" s="12" t="s">
        <v>157</v>
      </c>
      <c r="H20" s="1" t="n">
        <f aca="false">IF(B20=0,0,3)</f>
        <v>3</v>
      </c>
      <c r="I20" s="16" t="n">
        <f aca="false">IF(B20&gt;0,B20,"")</f>
        <v>0.991840986634935</v>
      </c>
      <c r="J20" s="16" t="n">
        <f aca="false">IF(I20="","",I20*Source!$B$77)</f>
        <v>9.91840986634935</v>
      </c>
      <c r="L20" s="1" t="n">
        <f aca="false">IF(I20="","",0)</f>
        <v>0</v>
      </c>
    </row>
    <row r="21" customFormat="false" ht="12.8" hidden="false" customHeight="false" outlineLevel="0" collapsed="false">
      <c r="A21" s="17" t="s">
        <v>181</v>
      </c>
      <c r="B21" s="16" t="n">
        <f aca="false">Source!C18</f>
        <v>0</v>
      </c>
      <c r="C21" s="17" t="s">
        <v>173</v>
      </c>
      <c r="D21" s="12" t="str">
        <f aca="false">Projects!$B$2</f>
        <v>archetypes_metabo</v>
      </c>
      <c r="E21" s="12" t="s">
        <v>168</v>
      </c>
      <c r="F21" s="17" t="s">
        <v>139</v>
      </c>
      <c r="G21" s="12" t="s">
        <v>157</v>
      </c>
      <c r="H21" s="1" t="n">
        <f aca="false">IF(B21=0,0,3)</f>
        <v>0</v>
      </c>
      <c r="I21" s="16" t="str">
        <f aca="false">IF(B21&gt;0,B21,"")</f>
        <v/>
      </c>
      <c r="J21" s="16" t="str">
        <f aca="false">IF(I21="","",I21*Source!$B$77)</f>
        <v/>
      </c>
      <c r="L21" s="1" t="str">
        <f aca="false">IF(I21="","",0)</f>
        <v/>
      </c>
    </row>
    <row r="22" customFormat="false" ht="12.8" hidden="false" customHeight="false" outlineLevel="0" collapsed="false">
      <c r="A22" s="17" t="s">
        <v>182</v>
      </c>
      <c r="B22" s="16" t="n">
        <f aca="false">Source!C19</f>
        <v>6.9555552084245</v>
      </c>
      <c r="C22" s="17" t="s">
        <v>173</v>
      </c>
      <c r="D22" s="12" t="str">
        <f aca="false">Projects!$B$2</f>
        <v>archetypes_metabo</v>
      </c>
      <c r="E22" s="12" t="s">
        <v>168</v>
      </c>
      <c r="F22" s="17" t="s">
        <v>139</v>
      </c>
      <c r="G22" s="12" t="s">
        <v>157</v>
      </c>
      <c r="H22" s="1" t="n">
        <f aca="false">IF(B22=0,0,3)</f>
        <v>3</v>
      </c>
      <c r="I22" s="16" t="n">
        <f aca="false">IF(B22&gt;0,B22,"")</f>
        <v>6.9555552084245</v>
      </c>
      <c r="J22" s="16" t="n">
        <f aca="false">IF(I22="","",I22*Source!$B$77)</f>
        <v>69.555552084245</v>
      </c>
      <c r="L22" s="1" t="n">
        <f aca="false">IF(I22="","",0)</f>
        <v>0</v>
      </c>
    </row>
    <row r="23" customFormat="false" ht="12.8" hidden="false" customHeight="false" outlineLevel="0" collapsed="false">
      <c r="A23" s="17" t="s">
        <v>183</v>
      </c>
      <c r="B23" s="16" t="n">
        <f aca="false">Source!C20</f>
        <v>20.8708976226418</v>
      </c>
      <c r="C23" s="17" t="s">
        <v>173</v>
      </c>
      <c r="D23" s="12" t="str">
        <f aca="false">Projects!$B$2</f>
        <v>archetypes_metabo</v>
      </c>
      <c r="E23" s="12" t="s">
        <v>168</v>
      </c>
      <c r="F23" s="17" t="s">
        <v>139</v>
      </c>
      <c r="G23" s="12" t="s">
        <v>157</v>
      </c>
      <c r="H23" s="1" t="n">
        <f aca="false">IF(B23=0,0,3)</f>
        <v>3</v>
      </c>
      <c r="I23" s="16" t="n">
        <f aca="false">IF(B23&gt;0,B23,"")</f>
        <v>20.8708976226418</v>
      </c>
      <c r="J23" s="16" t="n">
        <f aca="false">IF(I23="","",I23*Source!$B$77)</f>
        <v>208.708976226418</v>
      </c>
      <c r="L23" s="1" t="n">
        <f aca="false">IF(I23="","",0)</f>
        <v>0</v>
      </c>
    </row>
    <row r="24" customFormat="false" ht="12.8" hidden="false" customHeight="false" outlineLevel="0" collapsed="false">
      <c r="A24" s="12" t="s">
        <v>184</v>
      </c>
      <c r="B24" s="16" t="n">
        <f aca="false">Source!C21</f>
        <v>0.393630056315404</v>
      </c>
      <c r="C24" s="17" t="s">
        <v>173</v>
      </c>
      <c r="D24" s="12" t="str">
        <f aca="false">Projects!$B$2</f>
        <v>archetypes_metabo</v>
      </c>
      <c r="E24" s="12" t="s">
        <v>168</v>
      </c>
      <c r="F24" s="17" t="s">
        <v>139</v>
      </c>
      <c r="G24" s="12" t="s">
        <v>157</v>
      </c>
      <c r="H24" s="1" t="n">
        <f aca="false">IF(B24=0,0,3)</f>
        <v>3</v>
      </c>
      <c r="I24" s="16" t="n">
        <f aca="false">IF(B24&gt;0,B24,"")</f>
        <v>0.393630056315404</v>
      </c>
      <c r="J24" s="16" t="n">
        <f aca="false">IF(I24="","",I24*Source!$B$77)</f>
        <v>3.93630056315404</v>
      </c>
      <c r="L24" s="1" t="n">
        <f aca="false">IF(I24="","",0)</f>
        <v>0</v>
      </c>
    </row>
    <row r="25" customFormat="false" ht="12.8" hidden="false" customHeight="false" outlineLevel="0" collapsed="false">
      <c r="A25" s="12" t="s">
        <v>25</v>
      </c>
      <c r="B25" s="16" t="n">
        <f aca="false">Source!C22</f>
        <v>0</v>
      </c>
      <c r="C25" s="17" t="s">
        <v>185</v>
      </c>
      <c r="D25" s="12" t="str">
        <f aca="false">Projects!$B$2</f>
        <v>archetypes_metabo</v>
      </c>
      <c r="E25" s="12" t="s">
        <v>168</v>
      </c>
      <c r="F25" s="17" t="s">
        <v>139</v>
      </c>
      <c r="G25" s="12" t="s">
        <v>157</v>
      </c>
      <c r="H25" s="1" t="n">
        <f aca="false">IF(B25=0,0,3)</f>
        <v>0</v>
      </c>
      <c r="I25" s="16" t="str">
        <f aca="false">IF(B25&gt;0,B25,"")</f>
        <v/>
      </c>
      <c r="J25" s="16" t="str">
        <f aca="false">IF(I25="","",I25*Source!$B$77)</f>
        <v/>
      </c>
      <c r="L25" s="1" t="str">
        <f aca="false">IF(I25="","",0)</f>
        <v/>
      </c>
    </row>
    <row r="26" customFormat="false" ht="12.8" hidden="false" customHeight="false" outlineLevel="0" collapsed="false">
      <c r="A26" s="12" t="s">
        <v>27</v>
      </c>
      <c r="B26" s="16" t="n">
        <f aca="false">Source!C23</f>
        <v>4700</v>
      </c>
      <c r="C26" s="17" t="s">
        <v>185</v>
      </c>
      <c r="D26" s="12" t="str">
        <f aca="false">Projects!$B$2</f>
        <v>archetypes_metabo</v>
      </c>
      <c r="E26" s="12" t="s">
        <v>168</v>
      </c>
      <c r="F26" s="17" t="s">
        <v>139</v>
      </c>
      <c r="G26" s="12" t="s">
        <v>157</v>
      </c>
      <c r="H26" s="1" t="n">
        <f aca="false">IF(B26=0,0,3)</f>
        <v>3</v>
      </c>
      <c r="I26" s="16" t="n">
        <f aca="false">IF(B26&gt;0,B26,"")</f>
        <v>4700</v>
      </c>
      <c r="J26" s="16" t="n">
        <f aca="false">IF(I26="","",I26*Source!$B$77)</f>
        <v>47000</v>
      </c>
      <c r="L26" s="1" t="n">
        <f aca="false">IF(I26="","",0)</f>
        <v>0</v>
      </c>
    </row>
    <row r="27" customFormat="false" ht="12.8" hidden="false" customHeight="false" outlineLevel="0" collapsed="false">
      <c r="A27" s="12" t="s">
        <v>30</v>
      </c>
      <c r="B27" s="16" t="n">
        <f aca="false">Source!C26</f>
        <v>88.7096774193548</v>
      </c>
      <c r="C27" s="17" t="s">
        <v>186</v>
      </c>
      <c r="D27" s="12" t="str">
        <f aca="false">Projects!$B$2</f>
        <v>archetypes_metabo</v>
      </c>
      <c r="E27" s="12" t="s">
        <v>168</v>
      </c>
      <c r="F27" s="17" t="s">
        <v>139</v>
      </c>
      <c r="G27" s="12" t="s">
        <v>157</v>
      </c>
      <c r="H27" s="1" t="n">
        <f aca="false">IF(B27=0,0,3)</f>
        <v>3</v>
      </c>
      <c r="I27" s="16" t="n">
        <f aca="false">IF(B27&gt;0,B27,"")</f>
        <v>88.7096774193548</v>
      </c>
      <c r="J27" s="16" t="n">
        <f aca="false">IF(I27="","",I27*Source!$B$77)</f>
        <v>887.096774193548</v>
      </c>
      <c r="L27" s="1" t="n">
        <f aca="false">IF(I27="","",0)</f>
        <v>0</v>
      </c>
    </row>
    <row r="28" customFormat="false" ht="12.8" hidden="false" customHeight="false" outlineLevel="0" collapsed="false">
      <c r="A28" s="12" t="s">
        <v>32</v>
      </c>
      <c r="B28" s="16" t="n">
        <f aca="false">Source!C25</f>
        <v>0</v>
      </c>
      <c r="C28" s="17" t="s">
        <v>187</v>
      </c>
      <c r="D28" s="12" t="str">
        <f aca="false">Projects!$B$2</f>
        <v>archetypes_metabo</v>
      </c>
      <c r="E28" s="12" t="s">
        <v>168</v>
      </c>
      <c r="F28" s="17" t="s">
        <v>139</v>
      </c>
      <c r="G28" s="12" t="s">
        <v>157</v>
      </c>
      <c r="H28" s="1" t="n">
        <f aca="false">IF(B28=0,0,3)</f>
        <v>0</v>
      </c>
      <c r="I28" s="16" t="str">
        <f aca="false">IF(B28&gt;0,B28,"")</f>
        <v/>
      </c>
      <c r="J28" s="16" t="str">
        <f aca="false">IF(I28="","",I28*Source!$B$77)</f>
        <v/>
      </c>
      <c r="L28" s="1" t="str">
        <f aca="false">IF(I28="","",0)</f>
        <v/>
      </c>
    </row>
    <row r="29" customFormat="false" ht="12.8" hidden="false" customHeight="false" outlineLevel="0" collapsed="false">
      <c r="A29" s="12"/>
      <c r="B29" s="12"/>
      <c r="C29" s="12"/>
      <c r="D29" s="12"/>
      <c r="E29" s="12"/>
      <c r="F29" s="12"/>
      <c r="G29" s="12"/>
    </row>
    <row r="30" customFormat="false" ht="15" hidden="false" customHeight="false" outlineLevel="0" collapsed="false">
      <c r="A30" s="14" t="s">
        <v>131</v>
      </c>
      <c r="B30" s="14" t="s">
        <v>155</v>
      </c>
      <c r="C30" s="13"/>
      <c r="D30" s="12"/>
      <c r="E30" s="12"/>
      <c r="F30" s="12"/>
      <c r="G30" s="12"/>
    </row>
    <row r="31" customFormat="false" ht="12.8" hidden="false" customHeight="false" outlineLevel="0" collapsed="false">
      <c r="A31" s="12" t="s">
        <v>133</v>
      </c>
      <c r="B31" s="12" t="s">
        <v>168</v>
      </c>
      <c r="C31" s="12"/>
      <c r="D31" s="12"/>
      <c r="E31" s="12"/>
      <c r="F31" s="12"/>
      <c r="G31" s="12"/>
    </row>
    <row r="32" customFormat="false" ht="13.8" hidden="false" customHeight="false" outlineLevel="0" collapsed="false">
      <c r="A32" s="12" t="s">
        <v>135</v>
      </c>
      <c r="B32" s="12" t="s">
        <v>188</v>
      </c>
      <c r="C32" s="13"/>
      <c r="D32" s="12"/>
      <c r="E32" s="12"/>
      <c r="F32" s="12"/>
      <c r="G32" s="12"/>
    </row>
    <row r="33" customFormat="false" ht="12.8" hidden="false" customHeight="false" outlineLevel="0" collapsed="false">
      <c r="A33" s="12" t="s">
        <v>136</v>
      </c>
      <c r="B33" s="12" t="s">
        <v>171</v>
      </c>
      <c r="C33" s="12"/>
      <c r="D33" s="12"/>
      <c r="E33" s="12"/>
      <c r="F33" s="12"/>
      <c r="G33" s="12"/>
    </row>
    <row r="34" customFormat="false" ht="12.8" hidden="false" customHeight="false" outlineLevel="0" collapsed="false">
      <c r="A34" s="12" t="s">
        <v>138</v>
      </c>
      <c r="B34" s="12" t="s">
        <v>139</v>
      </c>
      <c r="C34" s="12"/>
      <c r="D34" s="12"/>
      <c r="E34" s="12"/>
      <c r="F34" s="12"/>
      <c r="G34" s="12"/>
    </row>
    <row r="35" customFormat="false" ht="12.8" hidden="false" customHeight="false" outlineLevel="0" collapsed="false">
      <c r="A35" s="12" t="s">
        <v>140</v>
      </c>
      <c r="B35" s="12" t="n">
        <v>1</v>
      </c>
      <c r="C35" s="12"/>
      <c r="D35" s="12"/>
      <c r="E35" s="12"/>
      <c r="F35" s="12"/>
      <c r="G35" s="12"/>
    </row>
    <row r="36" customFormat="false" ht="12.8" hidden="false" customHeight="false" outlineLevel="0" collapsed="false">
      <c r="A36" s="12" t="s">
        <v>141</v>
      </c>
      <c r="B36" s="12" t="s">
        <v>142</v>
      </c>
      <c r="C36" s="12"/>
      <c r="D36" s="12"/>
      <c r="E36" s="12"/>
      <c r="F36" s="12"/>
      <c r="G36" s="12"/>
    </row>
    <row r="37" customFormat="false" ht="12.8" hidden="false" customHeight="false" outlineLevel="0" collapsed="false">
      <c r="A37" s="12" t="s">
        <v>143</v>
      </c>
      <c r="B37" s="12" t="s">
        <v>156</v>
      </c>
      <c r="C37" s="12"/>
      <c r="D37" s="12"/>
      <c r="E37" s="12"/>
      <c r="F37" s="12"/>
      <c r="G37" s="12"/>
    </row>
    <row r="38" customFormat="false" ht="15" hidden="false" customHeight="false" outlineLevel="0" collapsed="false">
      <c r="A38" s="14" t="s">
        <v>144</v>
      </c>
      <c r="B38" s="12"/>
      <c r="C38" s="12"/>
      <c r="D38" s="12"/>
      <c r="E38" s="12"/>
      <c r="F38" s="12"/>
      <c r="G38" s="12"/>
    </row>
    <row r="39" customFormat="false" ht="15" hidden="false" customHeight="false" outlineLevel="0" collapsed="false">
      <c r="A39" s="14" t="s">
        <v>145</v>
      </c>
      <c r="B39" s="14" t="s">
        <v>146</v>
      </c>
      <c r="C39" s="14" t="s">
        <v>143</v>
      </c>
      <c r="D39" s="14" t="s">
        <v>147</v>
      </c>
      <c r="E39" s="14" t="s">
        <v>133</v>
      </c>
      <c r="F39" s="14" t="s">
        <v>138</v>
      </c>
      <c r="G39" s="14" t="s">
        <v>141</v>
      </c>
      <c r="H39" s="15" t="s">
        <v>148</v>
      </c>
      <c r="I39" s="15" t="s">
        <v>149</v>
      </c>
      <c r="J39" s="15" t="s">
        <v>150</v>
      </c>
      <c r="K39" s="15" t="s">
        <v>151</v>
      </c>
      <c r="L39" s="15" t="s">
        <v>152</v>
      </c>
      <c r="M39" s="15" t="s">
        <v>153</v>
      </c>
    </row>
    <row r="40" customFormat="false" ht="12.8" hidden="false" customHeight="false" outlineLevel="0" collapsed="false">
      <c r="A40" s="12" t="s">
        <v>155</v>
      </c>
      <c r="B40" s="16" t="n">
        <v>1</v>
      </c>
      <c r="C40" s="17" t="s">
        <v>156</v>
      </c>
      <c r="D40" s="12" t="str">
        <f aca="false">Projects!$B$2</f>
        <v>archetypes_metabo</v>
      </c>
      <c r="E40" s="12" t="s">
        <v>168</v>
      </c>
      <c r="F40" s="17" t="s">
        <v>139</v>
      </c>
      <c r="G40" s="12" t="s">
        <v>154</v>
      </c>
    </row>
    <row r="41" customFormat="false" ht="12.8" hidden="false" customHeight="false" outlineLevel="0" collapsed="false">
      <c r="A41" s="12" t="s">
        <v>172</v>
      </c>
      <c r="B41" s="16" t="n">
        <f aca="false">Source!D10</f>
        <v>690.292486734803</v>
      </c>
      <c r="C41" s="17" t="s">
        <v>173</v>
      </c>
      <c r="D41" s="12" t="str">
        <f aca="false">Projects!$B$2</f>
        <v>archetypes_metabo</v>
      </c>
      <c r="E41" s="12" t="s">
        <v>168</v>
      </c>
      <c r="F41" s="17" t="s">
        <v>139</v>
      </c>
      <c r="G41" s="12" t="s">
        <v>157</v>
      </c>
      <c r="H41" s="1" t="n">
        <f aca="false">IF(B41=0,0,3)</f>
        <v>3</v>
      </c>
      <c r="I41" s="16" t="n">
        <f aca="false">IF(B41&gt;0,B41,"")</f>
        <v>690.292486734803</v>
      </c>
      <c r="J41" s="16" t="n">
        <f aca="false">IF(I41="","",I41*Source!$B$77)</f>
        <v>6902.92486734803</v>
      </c>
      <c r="L41" s="1" t="n">
        <f aca="false">IF(I41="","",0)</f>
        <v>0</v>
      </c>
    </row>
    <row r="42" customFormat="false" ht="12.8" hidden="false" customHeight="false" outlineLevel="0" collapsed="false">
      <c r="A42" s="12" t="s">
        <v>174</v>
      </c>
      <c r="B42" s="16" t="n">
        <f aca="false">Source!D11</f>
        <v>9.68965422982872</v>
      </c>
      <c r="C42" s="17" t="s">
        <v>173</v>
      </c>
      <c r="D42" s="12" t="str">
        <f aca="false">Projects!$B$2</f>
        <v>archetypes_metabo</v>
      </c>
      <c r="E42" s="12" t="s">
        <v>168</v>
      </c>
      <c r="F42" s="17" t="s">
        <v>139</v>
      </c>
      <c r="G42" s="12" t="s">
        <v>157</v>
      </c>
      <c r="H42" s="1" t="n">
        <f aca="false">IF(B42=0,0,3)</f>
        <v>3</v>
      </c>
      <c r="I42" s="16" t="n">
        <f aca="false">IF(B42&gt;0,B42,"")</f>
        <v>9.68965422982872</v>
      </c>
      <c r="J42" s="16" t="n">
        <f aca="false">IF(I42="","",I42*Source!$B$77)</f>
        <v>96.8965422982872</v>
      </c>
      <c r="L42" s="1" t="n">
        <f aca="false">IF(I42="","",0)</f>
        <v>0</v>
      </c>
    </row>
    <row r="43" customFormat="false" ht="12.8" hidden="false" customHeight="false" outlineLevel="0" collapsed="false">
      <c r="A43" s="12" t="s">
        <v>175</v>
      </c>
      <c r="B43" s="16" t="n">
        <f aca="false">Source!D12</f>
        <v>0</v>
      </c>
      <c r="C43" s="17" t="s">
        <v>173</v>
      </c>
      <c r="D43" s="12" t="str">
        <f aca="false">Projects!$B$2</f>
        <v>archetypes_metabo</v>
      </c>
      <c r="E43" s="12" t="s">
        <v>168</v>
      </c>
      <c r="F43" s="17" t="s">
        <v>139</v>
      </c>
      <c r="G43" s="12" t="s">
        <v>157</v>
      </c>
      <c r="H43" s="1" t="n">
        <f aca="false">IF(B43=0,0,3)</f>
        <v>0</v>
      </c>
      <c r="I43" s="16" t="str">
        <f aca="false">IF(B43&gt;0,B43,"")</f>
        <v/>
      </c>
      <c r="J43" s="16" t="str">
        <f aca="false">IF(I43="","",I43*Source!$B$77)</f>
        <v/>
      </c>
      <c r="L43" s="1" t="str">
        <f aca="false">IF(I43="","",0)</f>
        <v/>
      </c>
    </row>
    <row r="44" customFormat="false" ht="12.8" hidden="false" customHeight="false" outlineLevel="0" collapsed="false">
      <c r="A44" s="17" t="s">
        <v>176</v>
      </c>
      <c r="B44" s="16" t="n">
        <f aca="false">Source!D13</f>
        <v>27.751799775671</v>
      </c>
      <c r="C44" s="17" t="s">
        <v>173</v>
      </c>
      <c r="D44" s="12" t="str">
        <f aca="false">Projects!$B$2</f>
        <v>archetypes_metabo</v>
      </c>
      <c r="E44" s="12" t="s">
        <v>168</v>
      </c>
      <c r="F44" s="17" t="s">
        <v>139</v>
      </c>
      <c r="G44" s="12" t="s">
        <v>157</v>
      </c>
      <c r="H44" s="1" t="n">
        <f aca="false">IF(B44=0,0,3)</f>
        <v>3</v>
      </c>
      <c r="I44" s="16" t="n">
        <f aca="false">IF(B44&gt;0,B44,"")</f>
        <v>27.751799775671</v>
      </c>
      <c r="J44" s="16" t="n">
        <f aca="false">IF(I44="","",I44*Source!$B$77)</f>
        <v>277.51799775671</v>
      </c>
      <c r="L44" s="1" t="n">
        <f aca="false">IF(I44="","",0)</f>
        <v>0</v>
      </c>
    </row>
    <row r="45" customFormat="false" ht="12.8" hidden="false" customHeight="false" outlineLevel="0" collapsed="false">
      <c r="A45" s="17" t="s">
        <v>177</v>
      </c>
      <c r="B45" s="16" t="n">
        <f aca="false">Source!D14</f>
        <v>24.2817583055755</v>
      </c>
      <c r="C45" s="17" t="s">
        <v>173</v>
      </c>
      <c r="D45" s="12" t="str">
        <f aca="false">Projects!$B$2</f>
        <v>archetypes_metabo</v>
      </c>
      <c r="E45" s="12" t="s">
        <v>168</v>
      </c>
      <c r="F45" s="17" t="s">
        <v>139</v>
      </c>
      <c r="G45" s="12" t="s">
        <v>157</v>
      </c>
      <c r="H45" s="1" t="n">
        <f aca="false">IF(B45=0,0,3)</f>
        <v>3</v>
      </c>
      <c r="I45" s="16" t="n">
        <f aca="false">IF(B45&gt;0,B45,"")</f>
        <v>24.2817583055755</v>
      </c>
      <c r="J45" s="16" t="n">
        <f aca="false">IF(I45="","",I45*Source!$B$77)</f>
        <v>242.817583055755</v>
      </c>
      <c r="L45" s="1" t="n">
        <f aca="false">IF(I45="","",0)</f>
        <v>0</v>
      </c>
    </row>
    <row r="46" customFormat="false" ht="12.8" hidden="false" customHeight="false" outlineLevel="0" collapsed="false">
      <c r="A46" s="17" t="s">
        <v>178</v>
      </c>
      <c r="B46" s="16" t="n">
        <f aca="false">Source!D15</f>
        <v>0.0917654352710881</v>
      </c>
      <c r="C46" s="17" t="s">
        <v>173</v>
      </c>
      <c r="D46" s="12" t="str">
        <f aca="false">Projects!$B$2</f>
        <v>archetypes_metabo</v>
      </c>
      <c r="E46" s="12" t="s">
        <v>168</v>
      </c>
      <c r="F46" s="17" t="s">
        <v>139</v>
      </c>
      <c r="G46" s="12" t="s">
        <v>157</v>
      </c>
      <c r="H46" s="1" t="n">
        <f aca="false">IF(B46=0,0,3)</f>
        <v>3</v>
      </c>
      <c r="I46" s="16" t="n">
        <f aca="false">IF(B46&gt;0,B46,"")</f>
        <v>0.0917654352710881</v>
      </c>
      <c r="J46" s="16" t="n">
        <f aca="false">IF(I46="","",I46*Source!$B$77)</f>
        <v>0.917654352710881</v>
      </c>
      <c r="L46" s="1" t="n">
        <f aca="false">IF(I46="","",0)</f>
        <v>0</v>
      </c>
    </row>
    <row r="47" customFormat="false" ht="12.8" hidden="false" customHeight="false" outlineLevel="0" collapsed="false">
      <c r="A47" s="17" t="s">
        <v>179</v>
      </c>
      <c r="B47" s="16" t="n">
        <f aca="false">Source!D16</f>
        <v>0.628578167925227</v>
      </c>
      <c r="C47" s="17" t="s">
        <v>173</v>
      </c>
      <c r="D47" s="12" t="str">
        <f aca="false">Projects!$B$2</f>
        <v>archetypes_metabo</v>
      </c>
      <c r="E47" s="12" t="s">
        <v>168</v>
      </c>
      <c r="F47" s="17" t="s">
        <v>139</v>
      </c>
      <c r="G47" s="12" t="s">
        <v>157</v>
      </c>
      <c r="H47" s="1" t="n">
        <f aca="false">IF(B47=0,0,3)</f>
        <v>3</v>
      </c>
      <c r="I47" s="16" t="n">
        <f aca="false">IF(B47&gt;0,B47,"")</f>
        <v>0.628578167925227</v>
      </c>
      <c r="J47" s="16" t="n">
        <f aca="false">IF(I47="","",I47*Source!$B$77)</f>
        <v>6.28578167925227</v>
      </c>
      <c r="L47" s="1" t="n">
        <f aca="false">IF(I47="","",0)</f>
        <v>0</v>
      </c>
    </row>
    <row r="48" customFormat="false" ht="12.8" hidden="false" customHeight="false" outlineLevel="0" collapsed="false">
      <c r="A48" s="17" t="s">
        <v>180</v>
      </c>
      <c r="B48" s="16" t="n">
        <f aca="false">Source!D17</f>
        <v>0.603744424963541</v>
      </c>
      <c r="C48" s="17" t="s">
        <v>173</v>
      </c>
      <c r="D48" s="12" t="str">
        <f aca="false">Projects!$B$2</f>
        <v>archetypes_metabo</v>
      </c>
      <c r="E48" s="12" t="s">
        <v>168</v>
      </c>
      <c r="F48" s="17" t="s">
        <v>139</v>
      </c>
      <c r="G48" s="12" t="s">
        <v>157</v>
      </c>
      <c r="H48" s="1" t="n">
        <f aca="false">IF(B48=0,0,3)</f>
        <v>3</v>
      </c>
      <c r="I48" s="16" t="n">
        <f aca="false">IF(B48&gt;0,B48,"")</f>
        <v>0.603744424963541</v>
      </c>
      <c r="J48" s="16" t="n">
        <f aca="false">IF(I48="","",I48*Source!$B$77)</f>
        <v>6.03744424963541</v>
      </c>
      <c r="L48" s="1" t="n">
        <f aca="false">IF(I48="","",0)</f>
        <v>0</v>
      </c>
    </row>
    <row r="49" customFormat="false" ht="12.8" hidden="false" customHeight="false" outlineLevel="0" collapsed="false">
      <c r="A49" s="17" t="s">
        <v>181</v>
      </c>
      <c r="B49" s="16" t="n">
        <f aca="false">Source!D18</f>
        <v>0</v>
      </c>
      <c r="C49" s="17" t="s">
        <v>173</v>
      </c>
      <c r="D49" s="12" t="str">
        <f aca="false">Projects!$B$2</f>
        <v>archetypes_metabo</v>
      </c>
      <c r="E49" s="12" t="s">
        <v>168</v>
      </c>
      <c r="F49" s="17" t="s">
        <v>139</v>
      </c>
      <c r="G49" s="12" t="s">
        <v>157</v>
      </c>
      <c r="H49" s="1" t="n">
        <f aca="false">IF(B49=0,0,3)</f>
        <v>0</v>
      </c>
      <c r="I49" s="16" t="str">
        <f aca="false">IF(B49&gt;0,B49,"")</f>
        <v/>
      </c>
      <c r="J49" s="16" t="str">
        <f aca="false">IF(I49="","",I49*Source!$B$77)</f>
        <v/>
      </c>
      <c r="L49" s="1" t="str">
        <f aca="false">IF(I49="","",0)</f>
        <v/>
      </c>
    </row>
    <row r="50" customFormat="false" ht="12.8" hidden="false" customHeight="false" outlineLevel="0" collapsed="false">
      <c r="A50" s="17" t="s">
        <v>182</v>
      </c>
      <c r="B50" s="16" t="n">
        <f aca="false">Source!D19</f>
        <v>4.69592267343918</v>
      </c>
      <c r="C50" s="17" t="s">
        <v>173</v>
      </c>
      <c r="D50" s="12" t="str">
        <f aca="false">Projects!$B$2</f>
        <v>archetypes_metabo</v>
      </c>
      <c r="E50" s="12" t="s">
        <v>168</v>
      </c>
      <c r="F50" s="17" t="s">
        <v>139</v>
      </c>
      <c r="G50" s="12" t="s">
        <v>157</v>
      </c>
      <c r="H50" s="1" t="n">
        <f aca="false">IF(B50=0,0,3)</f>
        <v>3</v>
      </c>
      <c r="I50" s="16" t="n">
        <f aca="false">IF(B50&gt;0,B50,"")</f>
        <v>4.69592267343918</v>
      </c>
      <c r="J50" s="16" t="n">
        <f aca="false">IF(I50="","",I50*Source!$B$77)</f>
        <v>46.9592267343918</v>
      </c>
      <c r="L50" s="1" t="n">
        <f aca="false">IF(I50="","",0)</f>
        <v>0</v>
      </c>
    </row>
    <row r="51" customFormat="false" ht="12.8" hidden="false" customHeight="false" outlineLevel="0" collapsed="false">
      <c r="A51" s="17" t="s">
        <v>183</v>
      </c>
      <c r="B51" s="16" t="n">
        <f aca="false">Source!D20</f>
        <v>7.24732618243788</v>
      </c>
      <c r="C51" s="17" t="s">
        <v>173</v>
      </c>
      <c r="D51" s="12" t="str">
        <f aca="false">Projects!$B$2</f>
        <v>archetypes_metabo</v>
      </c>
      <c r="E51" s="12" t="s">
        <v>168</v>
      </c>
      <c r="F51" s="17" t="s">
        <v>139</v>
      </c>
      <c r="G51" s="12" t="s">
        <v>157</v>
      </c>
      <c r="H51" s="1" t="n">
        <f aca="false">IF(B51=0,0,3)</f>
        <v>3</v>
      </c>
      <c r="I51" s="16" t="n">
        <f aca="false">IF(B51&gt;0,B51,"")</f>
        <v>7.24732618243788</v>
      </c>
      <c r="J51" s="16" t="n">
        <f aca="false">IF(I51="","",I51*Source!$B$77)</f>
        <v>72.4732618243788</v>
      </c>
      <c r="L51" s="1" t="n">
        <f aca="false">IF(I51="","",0)</f>
        <v>0</v>
      </c>
    </row>
    <row r="52" customFormat="false" ht="12.8" hidden="false" customHeight="false" outlineLevel="0" collapsed="false">
      <c r="A52" s="12" t="s">
        <v>184</v>
      </c>
      <c r="B52" s="16" t="n">
        <f aca="false">Source!D21</f>
        <v>0.28662866945145</v>
      </c>
      <c r="C52" s="17" t="s">
        <v>173</v>
      </c>
      <c r="D52" s="12" t="str">
        <f aca="false">Projects!$B$2</f>
        <v>archetypes_metabo</v>
      </c>
      <c r="E52" s="12" t="s">
        <v>168</v>
      </c>
      <c r="F52" s="17" t="s">
        <v>139</v>
      </c>
      <c r="G52" s="12" t="s">
        <v>157</v>
      </c>
      <c r="H52" s="1" t="n">
        <f aca="false">IF(B52=0,0,3)</f>
        <v>3</v>
      </c>
      <c r="I52" s="16" t="n">
        <f aca="false">IF(B52&gt;0,B52,"")</f>
        <v>0.28662866945145</v>
      </c>
      <c r="J52" s="16" t="n">
        <f aca="false">IF(I52="","",I52*Source!$B$77)</f>
        <v>2.8662866945145</v>
      </c>
      <c r="L52" s="1" t="n">
        <f aca="false">IF(I52="","",0)</f>
        <v>0</v>
      </c>
    </row>
    <row r="53" customFormat="false" ht="12.8" hidden="false" customHeight="false" outlineLevel="0" collapsed="false">
      <c r="A53" s="12" t="s">
        <v>25</v>
      </c>
      <c r="B53" s="16" t="n">
        <f aca="false">Source!D22</f>
        <v>0</v>
      </c>
      <c r="C53" s="17" t="s">
        <v>185</v>
      </c>
      <c r="D53" s="12" t="str">
        <f aca="false">Projects!$B$2</f>
        <v>archetypes_metabo</v>
      </c>
      <c r="E53" s="12" t="s">
        <v>168</v>
      </c>
      <c r="F53" s="17" t="s">
        <v>139</v>
      </c>
      <c r="G53" s="12" t="s">
        <v>157</v>
      </c>
      <c r="H53" s="1" t="n">
        <f aca="false">IF(B53=0,0,3)</f>
        <v>0</v>
      </c>
      <c r="I53" s="16" t="str">
        <f aca="false">IF(B53&gt;0,B53,"")</f>
        <v/>
      </c>
      <c r="J53" s="16" t="str">
        <f aca="false">IF(I53="","",I53*Source!$B$77)</f>
        <v/>
      </c>
      <c r="L53" s="1" t="str">
        <f aca="false">IF(I53="","",0)</f>
        <v/>
      </c>
    </row>
    <row r="54" customFormat="false" ht="12.8" hidden="false" customHeight="false" outlineLevel="0" collapsed="false">
      <c r="A54" s="12" t="s">
        <v>27</v>
      </c>
      <c r="B54" s="16" t="n">
        <f aca="false">Source!D23</f>
        <v>6800</v>
      </c>
      <c r="C54" s="17" t="s">
        <v>185</v>
      </c>
      <c r="D54" s="12" t="str">
        <f aca="false">Projects!$B$2</f>
        <v>archetypes_metabo</v>
      </c>
      <c r="E54" s="12" t="s">
        <v>168</v>
      </c>
      <c r="F54" s="17" t="s">
        <v>139</v>
      </c>
      <c r="G54" s="12" t="s">
        <v>157</v>
      </c>
      <c r="H54" s="1" t="n">
        <f aca="false">IF(B54=0,0,3)</f>
        <v>3</v>
      </c>
      <c r="I54" s="16" t="n">
        <f aca="false">IF(B54&gt;0,B54,"")</f>
        <v>6800</v>
      </c>
      <c r="J54" s="16" t="n">
        <f aca="false">IF(I54="","",I54*Source!$B$77)</f>
        <v>68000</v>
      </c>
      <c r="L54" s="1" t="n">
        <f aca="false">IF(I54="","",0)</f>
        <v>0</v>
      </c>
    </row>
    <row r="55" customFormat="false" ht="12.8" hidden="false" customHeight="false" outlineLevel="0" collapsed="false">
      <c r="A55" s="12" t="s">
        <v>30</v>
      </c>
      <c r="B55" s="16" t="n">
        <f aca="false">Source!D24</f>
        <v>0</v>
      </c>
      <c r="C55" s="17" t="s">
        <v>186</v>
      </c>
      <c r="D55" s="12" t="str">
        <f aca="false">Projects!$B$2</f>
        <v>archetypes_metabo</v>
      </c>
      <c r="E55" s="12" t="s">
        <v>168</v>
      </c>
      <c r="F55" s="17" t="s">
        <v>139</v>
      </c>
      <c r="G55" s="12" t="s">
        <v>157</v>
      </c>
      <c r="H55" s="1" t="n">
        <f aca="false">IF(B55=0,0,3)</f>
        <v>0</v>
      </c>
      <c r="I55" s="16" t="str">
        <f aca="false">IF(B55&gt;0,B55,"")</f>
        <v/>
      </c>
      <c r="J55" s="16" t="str">
        <f aca="false">IF(I55="","",I55*Source!$B$77)</f>
        <v/>
      </c>
      <c r="L55" s="1" t="str">
        <f aca="false">IF(I55="","",0)</f>
        <v/>
      </c>
    </row>
    <row r="56" customFormat="false" ht="12.8" hidden="false" customHeight="false" outlineLevel="0" collapsed="false">
      <c r="A56" s="12" t="s">
        <v>32</v>
      </c>
      <c r="B56" s="16" t="n">
        <f aca="false">Source!D25</f>
        <v>0</v>
      </c>
      <c r="C56" s="17" t="s">
        <v>187</v>
      </c>
      <c r="D56" s="12" t="str">
        <f aca="false">Projects!$B$2</f>
        <v>archetypes_metabo</v>
      </c>
      <c r="E56" s="12" t="s">
        <v>168</v>
      </c>
      <c r="F56" s="17" t="s">
        <v>139</v>
      </c>
      <c r="G56" s="12" t="s">
        <v>157</v>
      </c>
      <c r="H56" s="1" t="n">
        <f aca="false">IF(B56=0,0,3)</f>
        <v>0</v>
      </c>
      <c r="I56" s="16" t="str">
        <f aca="false">IF(B56&gt;0,B56,"")</f>
        <v/>
      </c>
      <c r="J56" s="16" t="str">
        <f aca="false">IF(I56="","",I56*Source!$B$77)</f>
        <v/>
      </c>
      <c r="L56" s="1" t="str">
        <f aca="false">IF(I56="","",0)</f>
        <v/>
      </c>
    </row>
    <row r="57" customFormat="false" ht="12.8" hidden="false" customHeight="false" outlineLevel="0" collapsed="false">
      <c r="D57" s="1"/>
      <c r="E57" s="1"/>
    </row>
    <row r="58" customFormat="false" ht="15" hidden="false" customHeight="false" outlineLevel="0" collapsed="false">
      <c r="A58" s="14" t="s">
        <v>131</v>
      </c>
      <c r="B58" s="14" t="s">
        <v>158</v>
      </c>
      <c r="C58" s="13"/>
      <c r="D58" s="12"/>
      <c r="E58" s="12"/>
      <c r="F58" s="12"/>
      <c r="G58" s="12"/>
    </row>
    <row r="59" customFormat="false" ht="12.8" hidden="false" customHeight="false" outlineLevel="0" collapsed="false">
      <c r="A59" s="12" t="s">
        <v>133</v>
      </c>
      <c r="B59" s="12" t="s">
        <v>168</v>
      </c>
      <c r="C59" s="12"/>
      <c r="D59" s="12"/>
      <c r="E59" s="12"/>
      <c r="F59" s="12"/>
      <c r="G59" s="12"/>
    </row>
    <row r="60" customFormat="false" ht="13.8" hidden="false" customHeight="false" outlineLevel="0" collapsed="false">
      <c r="A60" s="12" t="s">
        <v>135</v>
      </c>
      <c r="B60" s="12" t="s">
        <v>189</v>
      </c>
      <c r="C60" s="13"/>
      <c r="D60" s="12"/>
      <c r="E60" s="12"/>
      <c r="F60" s="12"/>
      <c r="G60" s="12"/>
    </row>
    <row r="61" customFormat="false" ht="12.8" hidden="false" customHeight="false" outlineLevel="0" collapsed="false">
      <c r="A61" s="12" t="s">
        <v>136</v>
      </c>
      <c r="B61" s="12" t="s">
        <v>171</v>
      </c>
      <c r="C61" s="12"/>
      <c r="D61" s="12"/>
      <c r="E61" s="12"/>
      <c r="F61" s="12"/>
      <c r="G61" s="12"/>
    </row>
    <row r="62" customFormat="false" ht="12.8" hidden="false" customHeight="false" outlineLevel="0" collapsed="false">
      <c r="A62" s="12" t="s">
        <v>138</v>
      </c>
      <c r="B62" s="12" t="s">
        <v>139</v>
      </c>
      <c r="C62" s="12"/>
      <c r="D62" s="12"/>
      <c r="E62" s="12"/>
      <c r="F62" s="12"/>
      <c r="G62" s="12"/>
    </row>
    <row r="63" customFormat="false" ht="12.8" hidden="false" customHeight="false" outlineLevel="0" collapsed="false">
      <c r="A63" s="12" t="s">
        <v>140</v>
      </c>
      <c r="B63" s="12" t="n">
        <v>1</v>
      </c>
      <c r="C63" s="12"/>
      <c r="D63" s="12"/>
      <c r="E63" s="12"/>
      <c r="F63" s="12"/>
      <c r="G63" s="12"/>
    </row>
    <row r="64" customFormat="false" ht="12.8" hidden="false" customHeight="false" outlineLevel="0" collapsed="false">
      <c r="A64" s="12" t="s">
        <v>141</v>
      </c>
      <c r="B64" s="12" t="s">
        <v>142</v>
      </c>
      <c r="C64" s="12"/>
      <c r="D64" s="12"/>
      <c r="E64" s="12"/>
      <c r="F64" s="12"/>
      <c r="G64" s="12"/>
    </row>
    <row r="65" customFormat="false" ht="12.8" hidden="false" customHeight="false" outlineLevel="0" collapsed="false">
      <c r="A65" s="12" t="s">
        <v>143</v>
      </c>
      <c r="B65" s="12" t="s">
        <v>156</v>
      </c>
      <c r="C65" s="12"/>
      <c r="D65" s="12"/>
      <c r="E65" s="12"/>
      <c r="F65" s="12"/>
      <c r="G65" s="12"/>
    </row>
    <row r="66" customFormat="false" ht="15" hidden="false" customHeight="false" outlineLevel="0" collapsed="false">
      <c r="A66" s="14" t="s">
        <v>144</v>
      </c>
      <c r="B66" s="12"/>
      <c r="C66" s="12"/>
      <c r="D66" s="12"/>
      <c r="E66" s="12"/>
      <c r="F66" s="12"/>
      <c r="G66" s="12"/>
    </row>
    <row r="67" customFormat="false" ht="15" hidden="false" customHeight="false" outlineLevel="0" collapsed="false">
      <c r="A67" s="14" t="s">
        <v>145</v>
      </c>
      <c r="B67" s="14" t="s">
        <v>146</v>
      </c>
      <c r="C67" s="14" t="s">
        <v>143</v>
      </c>
      <c r="D67" s="14" t="s">
        <v>147</v>
      </c>
      <c r="E67" s="14" t="s">
        <v>133</v>
      </c>
      <c r="F67" s="14" t="s">
        <v>138</v>
      </c>
      <c r="G67" s="14" t="s">
        <v>141</v>
      </c>
      <c r="H67" s="15" t="s">
        <v>148</v>
      </c>
      <c r="I67" s="15" t="s">
        <v>149</v>
      </c>
      <c r="J67" s="15" t="s">
        <v>150</v>
      </c>
      <c r="K67" s="15" t="s">
        <v>151</v>
      </c>
      <c r="L67" s="15" t="s">
        <v>152</v>
      </c>
      <c r="M67" s="15" t="s">
        <v>153</v>
      </c>
    </row>
    <row r="68" customFormat="false" ht="12.8" hidden="false" customHeight="false" outlineLevel="0" collapsed="false">
      <c r="A68" s="12" t="s">
        <v>158</v>
      </c>
      <c r="B68" s="16" t="n">
        <v>1</v>
      </c>
      <c r="C68" s="17" t="s">
        <v>156</v>
      </c>
      <c r="D68" s="12" t="str">
        <f aca="false">Projects!$B$2</f>
        <v>archetypes_metabo</v>
      </c>
      <c r="E68" s="12" t="s">
        <v>168</v>
      </c>
      <c r="F68" s="17" t="s">
        <v>139</v>
      </c>
      <c r="G68" s="12" t="s">
        <v>154</v>
      </c>
    </row>
    <row r="69" customFormat="false" ht="12.8" hidden="false" customHeight="false" outlineLevel="0" collapsed="false">
      <c r="A69" s="12" t="s">
        <v>172</v>
      </c>
      <c r="B69" s="16" t="n">
        <f aca="false">Source!E10</f>
        <v>268.551169433124</v>
      </c>
      <c r="C69" s="17" t="s">
        <v>173</v>
      </c>
      <c r="D69" s="12" t="str">
        <f aca="false">Projects!$B$2</f>
        <v>archetypes_metabo</v>
      </c>
      <c r="E69" s="12" t="s">
        <v>168</v>
      </c>
      <c r="F69" s="17" t="s">
        <v>139</v>
      </c>
      <c r="G69" s="12" t="s">
        <v>157</v>
      </c>
      <c r="H69" s="1" t="n">
        <f aca="false">IF(B69=0,0,3)</f>
        <v>3</v>
      </c>
      <c r="I69" s="16" t="n">
        <f aca="false">IF(B69&gt;0,B69,"")</f>
        <v>268.551169433124</v>
      </c>
      <c r="J69" s="16" t="n">
        <f aca="false">IF(I69="","",I69*Source!$B$77)</f>
        <v>2685.51169433124</v>
      </c>
      <c r="L69" s="1" t="n">
        <f aca="false">IF(I69="","",0)</f>
        <v>0</v>
      </c>
    </row>
    <row r="70" customFormat="false" ht="12.8" hidden="false" customHeight="false" outlineLevel="0" collapsed="false">
      <c r="A70" s="12" t="s">
        <v>174</v>
      </c>
      <c r="B70" s="16" t="n">
        <f aca="false">Source!E11</f>
        <v>2.17197889322543</v>
      </c>
      <c r="C70" s="17" t="s">
        <v>173</v>
      </c>
      <c r="D70" s="12" t="str">
        <f aca="false">Projects!$B$2</f>
        <v>archetypes_metabo</v>
      </c>
      <c r="E70" s="12" t="s">
        <v>168</v>
      </c>
      <c r="F70" s="17" t="s">
        <v>139</v>
      </c>
      <c r="G70" s="12" t="s">
        <v>157</v>
      </c>
      <c r="H70" s="1" t="n">
        <f aca="false">IF(B70=0,0,3)</f>
        <v>3</v>
      </c>
      <c r="I70" s="16" t="n">
        <f aca="false">IF(B70&gt;0,B70,"")</f>
        <v>2.17197889322543</v>
      </c>
      <c r="J70" s="16" t="n">
        <f aca="false">IF(I70="","",I70*Source!$B$77)</f>
        <v>21.7197889322543</v>
      </c>
      <c r="L70" s="1" t="n">
        <f aca="false">IF(I70="","",0)</f>
        <v>0</v>
      </c>
    </row>
    <row r="71" customFormat="false" ht="12.8" hidden="false" customHeight="false" outlineLevel="0" collapsed="false">
      <c r="A71" s="12" t="s">
        <v>175</v>
      </c>
      <c r="B71" s="16" t="n">
        <f aca="false">Source!E12</f>
        <v>8.92680147492704</v>
      </c>
      <c r="C71" s="17" t="s">
        <v>173</v>
      </c>
      <c r="D71" s="12" t="str">
        <f aca="false">Projects!$B$2</f>
        <v>archetypes_metabo</v>
      </c>
      <c r="E71" s="12" t="s">
        <v>168</v>
      </c>
      <c r="F71" s="17" t="s">
        <v>139</v>
      </c>
      <c r="G71" s="12" t="s">
        <v>157</v>
      </c>
      <c r="H71" s="1" t="n">
        <f aca="false">IF(B71=0,0,3)</f>
        <v>3</v>
      </c>
      <c r="I71" s="16" t="n">
        <f aca="false">IF(B71&gt;0,B71,"")</f>
        <v>8.92680147492704</v>
      </c>
      <c r="J71" s="16" t="n">
        <f aca="false">IF(I71="","",I71*Source!$B$77)</f>
        <v>89.2680147492704</v>
      </c>
      <c r="L71" s="1" t="n">
        <f aca="false">IF(I71="","",0)</f>
        <v>0</v>
      </c>
    </row>
    <row r="72" customFormat="false" ht="12.8" hidden="false" customHeight="false" outlineLevel="0" collapsed="false">
      <c r="A72" s="17" t="s">
        <v>176</v>
      </c>
      <c r="B72" s="16" t="n">
        <f aca="false">Source!E13</f>
        <v>4.56101433879344</v>
      </c>
      <c r="C72" s="17" t="s">
        <v>173</v>
      </c>
      <c r="D72" s="12" t="str">
        <f aca="false">Projects!$B$2</f>
        <v>archetypes_metabo</v>
      </c>
      <c r="E72" s="12" t="s">
        <v>168</v>
      </c>
      <c r="F72" s="17" t="s">
        <v>139</v>
      </c>
      <c r="G72" s="12" t="s">
        <v>157</v>
      </c>
      <c r="H72" s="1" t="n">
        <f aca="false">IF(B72=0,0,3)</f>
        <v>3</v>
      </c>
      <c r="I72" s="16" t="n">
        <f aca="false">IF(B72&gt;0,B72,"")</f>
        <v>4.56101433879344</v>
      </c>
      <c r="J72" s="16" t="n">
        <f aca="false">IF(I72="","",I72*Source!$B$77)</f>
        <v>45.6101433879344</v>
      </c>
      <c r="L72" s="1" t="n">
        <f aca="false">IF(I72="","",0)</f>
        <v>0</v>
      </c>
    </row>
    <row r="73" customFormat="false" ht="12.8" hidden="false" customHeight="false" outlineLevel="0" collapsed="false">
      <c r="A73" s="17" t="s">
        <v>177</v>
      </c>
      <c r="B73" s="16" t="n">
        <f aca="false">Source!E14</f>
        <v>10.9834518961189</v>
      </c>
      <c r="C73" s="17" t="s">
        <v>173</v>
      </c>
      <c r="D73" s="12" t="str">
        <f aca="false">Projects!$B$2</f>
        <v>archetypes_metabo</v>
      </c>
      <c r="E73" s="12" t="s">
        <v>168</v>
      </c>
      <c r="F73" s="17" t="s">
        <v>139</v>
      </c>
      <c r="G73" s="12" t="s">
        <v>157</v>
      </c>
      <c r="H73" s="1" t="n">
        <f aca="false">IF(B73=0,0,3)</f>
        <v>3</v>
      </c>
      <c r="I73" s="16" t="n">
        <f aca="false">IF(B73&gt;0,B73,"")</f>
        <v>10.9834518961189</v>
      </c>
      <c r="J73" s="16" t="n">
        <f aca="false">IF(I73="","",I73*Source!$B$77)</f>
        <v>109.834518961189</v>
      </c>
      <c r="L73" s="1" t="n">
        <f aca="false">IF(I73="","",0)</f>
        <v>0</v>
      </c>
    </row>
    <row r="74" customFormat="false" ht="12.8" hidden="false" customHeight="false" outlineLevel="0" collapsed="false">
      <c r="A74" s="17" t="s">
        <v>178</v>
      </c>
      <c r="B74" s="16" t="n">
        <f aca="false">Source!E15</f>
        <v>0.278509181532353</v>
      </c>
      <c r="C74" s="17" t="s">
        <v>173</v>
      </c>
      <c r="D74" s="12" t="str">
        <f aca="false">Projects!$B$2</f>
        <v>archetypes_metabo</v>
      </c>
      <c r="E74" s="12" t="s">
        <v>168</v>
      </c>
      <c r="F74" s="17" t="s">
        <v>139</v>
      </c>
      <c r="G74" s="12" t="s">
        <v>157</v>
      </c>
      <c r="H74" s="1" t="n">
        <f aca="false">IF(B74=0,0,3)</f>
        <v>3</v>
      </c>
      <c r="I74" s="16" t="n">
        <f aca="false">IF(B74&gt;0,B74,"")</f>
        <v>0.278509181532353</v>
      </c>
      <c r="J74" s="16" t="n">
        <f aca="false">IF(I74="","",I74*Source!$B$77)</f>
        <v>2.78509181532353</v>
      </c>
      <c r="L74" s="1" t="n">
        <f aca="false">IF(I74="","",0)</f>
        <v>0</v>
      </c>
    </row>
    <row r="75" customFormat="false" ht="12.8" hidden="false" customHeight="false" outlineLevel="0" collapsed="false">
      <c r="A75" s="17" t="s">
        <v>179</v>
      </c>
      <c r="B75" s="16" t="n">
        <f aca="false">Source!E16</f>
        <v>0</v>
      </c>
      <c r="C75" s="17" t="s">
        <v>173</v>
      </c>
      <c r="D75" s="12" t="str">
        <f aca="false">Projects!$B$2</f>
        <v>archetypes_metabo</v>
      </c>
      <c r="E75" s="12" t="s">
        <v>168</v>
      </c>
      <c r="F75" s="17" t="s">
        <v>139</v>
      </c>
      <c r="G75" s="12" t="s">
        <v>157</v>
      </c>
      <c r="H75" s="1" t="n">
        <f aca="false">IF(B75=0,0,3)</f>
        <v>0</v>
      </c>
      <c r="I75" s="16" t="str">
        <f aca="false">IF(B75&gt;0,B75,"")</f>
        <v/>
      </c>
      <c r="J75" s="16" t="str">
        <f aca="false">IF(I75="","",I75*Source!$B$77)</f>
        <v/>
      </c>
      <c r="L75" s="1" t="str">
        <f aca="false">IF(I75="","",0)</f>
        <v/>
      </c>
    </row>
    <row r="76" customFormat="false" ht="12.8" hidden="false" customHeight="false" outlineLevel="0" collapsed="false">
      <c r="A76" s="17" t="s">
        <v>180</v>
      </c>
      <c r="B76" s="16" t="n">
        <f aca="false">Source!E17</f>
        <v>0.302691787503423</v>
      </c>
      <c r="C76" s="17" t="s">
        <v>173</v>
      </c>
      <c r="D76" s="12" t="str">
        <f aca="false">Projects!$B$2</f>
        <v>archetypes_metabo</v>
      </c>
      <c r="E76" s="12" t="s">
        <v>168</v>
      </c>
      <c r="F76" s="17" t="s">
        <v>139</v>
      </c>
      <c r="G76" s="12" t="s">
        <v>157</v>
      </c>
      <c r="H76" s="1" t="n">
        <f aca="false">IF(B76=0,0,3)</f>
        <v>3</v>
      </c>
      <c r="I76" s="16" t="n">
        <f aca="false">IF(B76&gt;0,B76,"")</f>
        <v>0.302691787503423</v>
      </c>
      <c r="J76" s="16" t="n">
        <f aca="false">IF(I76="","",I76*Source!$B$77)</f>
        <v>3.02691787503423</v>
      </c>
      <c r="L76" s="1" t="n">
        <f aca="false">IF(I76="","",0)</f>
        <v>0</v>
      </c>
    </row>
    <row r="77" customFormat="false" ht="12.8" hidden="false" customHeight="false" outlineLevel="0" collapsed="false">
      <c r="A77" s="17" t="s">
        <v>181</v>
      </c>
      <c r="B77" s="16" t="n">
        <f aca="false">Source!E18</f>
        <v>0.175001385847085</v>
      </c>
      <c r="C77" s="17" t="s">
        <v>173</v>
      </c>
      <c r="D77" s="12" t="str">
        <f aca="false">Projects!$B$2</f>
        <v>archetypes_metabo</v>
      </c>
      <c r="E77" s="12" t="s">
        <v>168</v>
      </c>
      <c r="F77" s="17" t="s">
        <v>139</v>
      </c>
      <c r="G77" s="12" t="s">
        <v>157</v>
      </c>
      <c r="H77" s="1" t="n">
        <f aca="false">IF(B77=0,0,3)</f>
        <v>3</v>
      </c>
      <c r="I77" s="16" t="n">
        <f aca="false">IF(B77&gt;0,B77,"")</f>
        <v>0.175001385847085</v>
      </c>
      <c r="J77" s="16" t="n">
        <f aca="false">IF(I77="","",I77*Source!$B$77)</f>
        <v>1.75001385847085</v>
      </c>
      <c r="L77" s="1" t="n">
        <f aca="false">IF(I77="","",0)</f>
        <v>0</v>
      </c>
    </row>
    <row r="78" customFormat="false" ht="12.8" hidden="false" customHeight="false" outlineLevel="0" collapsed="false">
      <c r="A78" s="17" t="s">
        <v>182</v>
      </c>
      <c r="B78" s="16" t="n">
        <f aca="false">Source!E19</f>
        <v>2.79049117473607</v>
      </c>
      <c r="C78" s="17" t="s">
        <v>173</v>
      </c>
      <c r="D78" s="12" t="str">
        <f aca="false">Projects!$B$2</f>
        <v>archetypes_metabo</v>
      </c>
      <c r="E78" s="12" t="s">
        <v>168</v>
      </c>
      <c r="F78" s="17" t="s">
        <v>139</v>
      </c>
      <c r="G78" s="12" t="s">
        <v>157</v>
      </c>
      <c r="H78" s="1" t="n">
        <f aca="false">IF(B78=0,0,3)</f>
        <v>3</v>
      </c>
      <c r="I78" s="16" t="n">
        <f aca="false">IF(B78&gt;0,B78,"")</f>
        <v>2.79049117473607</v>
      </c>
      <c r="J78" s="16" t="n">
        <f aca="false">IF(I78="","",I78*Source!$B$77)</f>
        <v>27.9049117473607</v>
      </c>
      <c r="L78" s="1" t="n">
        <f aca="false">IF(I78="","",0)</f>
        <v>0</v>
      </c>
    </row>
    <row r="79" customFormat="false" ht="12.8" hidden="false" customHeight="false" outlineLevel="0" collapsed="false">
      <c r="A79" s="17" t="s">
        <v>183</v>
      </c>
      <c r="B79" s="16" t="n">
        <f aca="false">Source!E20</f>
        <v>7.67641694537039</v>
      </c>
      <c r="C79" s="17" t="s">
        <v>173</v>
      </c>
      <c r="D79" s="12" t="str">
        <f aca="false">Projects!$B$2</f>
        <v>archetypes_metabo</v>
      </c>
      <c r="E79" s="12" t="s">
        <v>168</v>
      </c>
      <c r="F79" s="17" t="s">
        <v>139</v>
      </c>
      <c r="G79" s="12" t="s">
        <v>157</v>
      </c>
      <c r="H79" s="1" t="n">
        <f aca="false">IF(B79=0,0,3)</f>
        <v>3</v>
      </c>
      <c r="I79" s="16" t="n">
        <f aca="false">IF(B79&gt;0,B79,"")</f>
        <v>7.67641694537039</v>
      </c>
      <c r="J79" s="16" t="n">
        <f aca="false">IF(I79="","",I79*Source!$B$77)</f>
        <v>76.7641694537039</v>
      </c>
      <c r="L79" s="1" t="n">
        <f aca="false">IF(I79="","",0)</f>
        <v>0</v>
      </c>
    </row>
    <row r="80" customFormat="false" ht="12.8" hidden="false" customHeight="false" outlineLevel="0" collapsed="false">
      <c r="A80" s="12" t="s">
        <v>184</v>
      </c>
      <c r="B80" s="16" t="n">
        <f aca="false">Source!E21</f>
        <v>0.277616582223064</v>
      </c>
      <c r="C80" s="17" t="s">
        <v>173</v>
      </c>
      <c r="D80" s="12" t="str">
        <f aca="false">Projects!$B$2</f>
        <v>archetypes_metabo</v>
      </c>
      <c r="E80" s="12" t="s">
        <v>168</v>
      </c>
      <c r="F80" s="17" t="s">
        <v>139</v>
      </c>
      <c r="G80" s="12" t="s">
        <v>157</v>
      </c>
      <c r="H80" s="1" t="n">
        <f aca="false">IF(B80=0,0,3)</f>
        <v>3</v>
      </c>
      <c r="I80" s="16" t="n">
        <f aca="false">IF(B80&gt;0,B80,"")</f>
        <v>0.277616582223064</v>
      </c>
      <c r="J80" s="16" t="n">
        <f aca="false">IF(I80="","",I80*Source!$B$77)</f>
        <v>2.77616582223064</v>
      </c>
      <c r="L80" s="1" t="n">
        <f aca="false">IF(I80="","",0)</f>
        <v>0</v>
      </c>
    </row>
    <row r="81" customFormat="false" ht="12.8" hidden="false" customHeight="false" outlineLevel="0" collapsed="false">
      <c r="A81" s="12" t="s">
        <v>25</v>
      </c>
      <c r="B81" s="16" t="n">
        <f aca="false">Source!E22</f>
        <v>3500</v>
      </c>
      <c r="C81" s="17" t="s">
        <v>185</v>
      </c>
      <c r="D81" s="12" t="str">
        <f aca="false">Projects!$B$2</f>
        <v>archetypes_metabo</v>
      </c>
      <c r="E81" s="12" t="s">
        <v>168</v>
      </c>
      <c r="F81" s="17" t="s">
        <v>139</v>
      </c>
      <c r="G81" s="12" t="s">
        <v>157</v>
      </c>
      <c r="H81" s="1" t="n">
        <f aca="false">IF(B81=0,0,3)</f>
        <v>3</v>
      </c>
      <c r="I81" s="16" t="n">
        <f aca="false">IF(B81&gt;0,B81,"")</f>
        <v>3500</v>
      </c>
      <c r="J81" s="16" t="n">
        <f aca="false">IF(I81="","",I81*Source!$B$77)</f>
        <v>35000</v>
      </c>
      <c r="L81" s="1" t="n">
        <f aca="false">IF(I81="","",0)</f>
        <v>0</v>
      </c>
    </row>
    <row r="82" customFormat="false" ht="12.8" hidden="false" customHeight="false" outlineLevel="0" collapsed="false">
      <c r="A82" s="12" t="s">
        <v>27</v>
      </c>
      <c r="B82" s="16" t="n">
        <f aca="false">Source!E23</f>
        <v>5350</v>
      </c>
      <c r="C82" s="17" t="s">
        <v>185</v>
      </c>
      <c r="D82" s="12" t="str">
        <f aca="false">Projects!$B$2</f>
        <v>archetypes_metabo</v>
      </c>
      <c r="E82" s="12" t="s">
        <v>168</v>
      </c>
      <c r="F82" s="17" t="s">
        <v>139</v>
      </c>
      <c r="G82" s="12" t="s">
        <v>157</v>
      </c>
      <c r="H82" s="1" t="n">
        <f aca="false">IF(B82=0,0,3)</f>
        <v>3</v>
      </c>
      <c r="I82" s="16" t="n">
        <f aca="false">IF(B82&gt;0,B82,"")</f>
        <v>5350</v>
      </c>
      <c r="J82" s="16" t="n">
        <f aca="false">IF(I82="","",I82*Source!$B$77)</f>
        <v>53500</v>
      </c>
      <c r="L82" s="1" t="n">
        <f aca="false">IF(I82="","",0)</f>
        <v>0</v>
      </c>
    </row>
    <row r="83" customFormat="false" ht="12.8" hidden="false" customHeight="false" outlineLevel="0" collapsed="false">
      <c r="A83" s="12" t="s">
        <v>30</v>
      </c>
      <c r="B83" s="16" t="n">
        <f aca="false">Source!E24</f>
        <v>0</v>
      </c>
      <c r="C83" s="17" t="s">
        <v>186</v>
      </c>
      <c r="D83" s="12" t="str">
        <f aca="false">Projects!$B$2</f>
        <v>archetypes_metabo</v>
      </c>
      <c r="E83" s="12" t="s">
        <v>168</v>
      </c>
      <c r="F83" s="17" t="s">
        <v>139</v>
      </c>
      <c r="G83" s="12" t="s">
        <v>157</v>
      </c>
      <c r="H83" s="1" t="n">
        <f aca="false">IF(B83=0,0,3)</f>
        <v>0</v>
      </c>
      <c r="I83" s="16" t="str">
        <f aca="false">IF(B83&gt;0,B83,"")</f>
        <v/>
      </c>
      <c r="J83" s="16" t="str">
        <f aca="false">IF(I83="","",I83*Source!$B$77)</f>
        <v/>
      </c>
      <c r="L83" s="1" t="str">
        <f aca="false">IF(I83="","",0)</f>
        <v/>
      </c>
    </row>
    <row r="84" customFormat="false" ht="12.8" hidden="false" customHeight="false" outlineLevel="0" collapsed="false">
      <c r="A84" s="12" t="s">
        <v>32</v>
      </c>
      <c r="B84" s="16" t="n">
        <f aca="false">Source!E25</f>
        <v>0</v>
      </c>
      <c r="C84" s="17" t="s">
        <v>187</v>
      </c>
      <c r="D84" s="12" t="str">
        <f aca="false">Projects!$B$2</f>
        <v>archetypes_metabo</v>
      </c>
      <c r="E84" s="12" t="s">
        <v>168</v>
      </c>
      <c r="F84" s="17" t="s">
        <v>139</v>
      </c>
      <c r="G84" s="12" t="s">
        <v>157</v>
      </c>
      <c r="H84" s="1" t="n">
        <f aca="false">IF(B84=0,0,3)</f>
        <v>0</v>
      </c>
      <c r="I84" s="16" t="str">
        <f aca="false">IF(B84&gt;0,B84,"")</f>
        <v/>
      </c>
      <c r="J84" s="16" t="str">
        <f aca="false">IF(I84="","",I84*Source!$B$77)</f>
        <v/>
      </c>
      <c r="L84" s="1" t="str">
        <f aca="false">IF(I84="","",0)</f>
        <v/>
      </c>
    </row>
    <row r="85" customFormat="false" ht="12.8" hidden="false" customHeight="false" outlineLevel="0" collapsed="false">
      <c r="D85" s="1"/>
      <c r="E85" s="1"/>
    </row>
    <row r="86" customFormat="false" ht="15" hidden="false" customHeight="false" outlineLevel="0" collapsed="false">
      <c r="A86" s="14" t="s">
        <v>131</v>
      </c>
      <c r="B86" s="14" t="s">
        <v>190</v>
      </c>
      <c r="C86" s="13"/>
      <c r="D86" s="12"/>
      <c r="E86" s="12"/>
      <c r="F86" s="12"/>
      <c r="G86" s="12"/>
    </row>
    <row r="87" customFormat="false" ht="12.8" hidden="false" customHeight="false" outlineLevel="0" collapsed="false">
      <c r="A87" s="12" t="s">
        <v>133</v>
      </c>
      <c r="B87" s="12" t="s">
        <v>168</v>
      </c>
      <c r="C87" s="12"/>
      <c r="D87" s="12"/>
      <c r="E87" s="12"/>
      <c r="F87" s="12"/>
      <c r="G87" s="12"/>
    </row>
    <row r="88" customFormat="false" ht="13.8" hidden="false" customHeight="false" outlineLevel="0" collapsed="false">
      <c r="A88" s="12" t="s">
        <v>135</v>
      </c>
      <c r="B88" s="12" t="s">
        <v>191</v>
      </c>
      <c r="C88" s="13"/>
      <c r="D88" s="12"/>
      <c r="E88" s="12"/>
      <c r="F88" s="12"/>
      <c r="G88" s="12"/>
    </row>
    <row r="89" customFormat="false" ht="12.8" hidden="false" customHeight="false" outlineLevel="0" collapsed="false">
      <c r="A89" s="12" t="s">
        <v>136</v>
      </c>
      <c r="B89" s="12" t="s">
        <v>171</v>
      </c>
      <c r="C89" s="12"/>
      <c r="D89" s="12"/>
      <c r="E89" s="12"/>
      <c r="F89" s="12"/>
      <c r="G89" s="12"/>
    </row>
    <row r="90" customFormat="false" ht="12.8" hidden="false" customHeight="false" outlineLevel="0" collapsed="false">
      <c r="A90" s="12" t="s">
        <v>138</v>
      </c>
      <c r="B90" s="12" t="s">
        <v>139</v>
      </c>
      <c r="C90" s="12"/>
      <c r="D90" s="12"/>
      <c r="E90" s="12"/>
      <c r="F90" s="12"/>
      <c r="G90" s="12"/>
    </row>
    <row r="91" customFormat="false" ht="12.8" hidden="false" customHeight="false" outlineLevel="0" collapsed="false">
      <c r="A91" s="12" t="s">
        <v>140</v>
      </c>
      <c r="B91" s="12" t="n">
        <v>1</v>
      </c>
      <c r="C91" s="12"/>
      <c r="D91" s="12"/>
      <c r="E91" s="12"/>
      <c r="F91" s="12"/>
      <c r="G91" s="12"/>
    </row>
    <row r="92" customFormat="false" ht="12.8" hidden="false" customHeight="false" outlineLevel="0" collapsed="false">
      <c r="A92" s="12" t="s">
        <v>141</v>
      </c>
      <c r="B92" s="12" t="s">
        <v>142</v>
      </c>
      <c r="C92" s="12"/>
      <c r="D92" s="12"/>
      <c r="E92" s="12"/>
      <c r="F92" s="12"/>
      <c r="G92" s="12"/>
    </row>
    <row r="93" customFormat="false" ht="12.8" hidden="false" customHeight="false" outlineLevel="0" collapsed="false">
      <c r="A93" s="12" t="s">
        <v>143</v>
      </c>
      <c r="B93" s="12" t="s">
        <v>156</v>
      </c>
      <c r="C93" s="12"/>
      <c r="D93" s="12"/>
      <c r="E93" s="12"/>
      <c r="F93" s="12"/>
      <c r="G93" s="12"/>
    </row>
    <row r="94" customFormat="false" ht="15" hidden="false" customHeight="false" outlineLevel="0" collapsed="false">
      <c r="A94" s="14" t="s">
        <v>144</v>
      </c>
      <c r="B94" s="12"/>
      <c r="C94" s="12"/>
      <c r="D94" s="12"/>
      <c r="E94" s="12"/>
      <c r="F94" s="12"/>
      <c r="G94" s="12"/>
    </row>
    <row r="95" customFormat="false" ht="15" hidden="false" customHeight="false" outlineLevel="0" collapsed="false">
      <c r="A95" s="14" t="s">
        <v>145</v>
      </c>
      <c r="B95" s="14" t="s">
        <v>146</v>
      </c>
      <c r="C95" s="14" t="s">
        <v>143</v>
      </c>
      <c r="D95" s="14" t="s">
        <v>147</v>
      </c>
      <c r="E95" s="14" t="s">
        <v>133</v>
      </c>
      <c r="F95" s="14" t="s">
        <v>138</v>
      </c>
      <c r="G95" s="14" t="s">
        <v>141</v>
      </c>
      <c r="H95" s="15" t="s">
        <v>148</v>
      </c>
      <c r="I95" s="15" t="s">
        <v>149</v>
      </c>
      <c r="J95" s="15" t="s">
        <v>150</v>
      </c>
      <c r="K95" s="15" t="s">
        <v>151</v>
      </c>
      <c r="L95" s="15" t="s">
        <v>152</v>
      </c>
      <c r="M95" s="15" t="s">
        <v>153</v>
      </c>
    </row>
    <row r="96" customFormat="false" ht="12.8" hidden="false" customHeight="false" outlineLevel="0" collapsed="false">
      <c r="A96" s="12" t="s">
        <v>190</v>
      </c>
      <c r="B96" s="16" t="n">
        <v>1</v>
      </c>
      <c r="C96" s="17" t="s">
        <v>156</v>
      </c>
      <c r="D96" s="12" t="str">
        <f aca="false">Projects!$B$2</f>
        <v>archetypes_metabo</v>
      </c>
      <c r="E96" s="12" t="s">
        <v>168</v>
      </c>
      <c r="F96" s="17" t="s">
        <v>139</v>
      </c>
      <c r="G96" s="1" t="s">
        <v>154</v>
      </c>
    </row>
    <row r="97" customFormat="false" ht="12.8" hidden="false" customHeight="false" outlineLevel="0" collapsed="false">
      <c r="A97" s="12" t="s">
        <v>172</v>
      </c>
      <c r="B97" s="16" t="n">
        <f aca="false">Source!F10</f>
        <v>324.607798917837</v>
      </c>
      <c r="C97" s="17" t="s">
        <v>173</v>
      </c>
      <c r="D97" s="12" t="str">
        <f aca="false">Projects!$B$2</f>
        <v>archetypes_metabo</v>
      </c>
      <c r="E97" s="12" t="s">
        <v>168</v>
      </c>
      <c r="F97" s="17" t="s">
        <v>139</v>
      </c>
      <c r="G97" s="12" t="s">
        <v>157</v>
      </c>
      <c r="H97" s="1" t="n">
        <f aca="false">IF(B97=0,0,3)</f>
        <v>3</v>
      </c>
      <c r="I97" s="16" t="n">
        <f aca="false">IF(B97&gt;0,B97,"")</f>
        <v>324.607798917837</v>
      </c>
      <c r="J97" s="16" t="n">
        <f aca="false">IF(I97="","",I97*Source!$B$77)</f>
        <v>3246.07798917837</v>
      </c>
      <c r="L97" s="1" t="n">
        <f aca="false">IF(I97="","",0)</f>
        <v>0</v>
      </c>
    </row>
    <row r="98" customFormat="false" ht="12.8" hidden="false" customHeight="false" outlineLevel="0" collapsed="false">
      <c r="A98" s="12" t="s">
        <v>174</v>
      </c>
      <c r="B98" s="16" t="n">
        <f aca="false">Source!F11</f>
        <v>12.0391160472074</v>
      </c>
      <c r="C98" s="17" t="s">
        <v>173</v>
      </c>
      <c r="D98" s="12" t="str">
        <f aca="false">Projects!$B$2</f>
        <v>archetypes_metabo</v>
      </c>
      <c r="E98" s="12" t="s">
        <v>168</v>
      </c>
      <c r="F98" s="17" t="s">
        <v>139</v>
      </c>
      <c r="G98" s="12" t="s">
        <v>157</v>
      </c>
      <c r="H98" s="1" t="n">
        <f aca="false">IF(B98=0,0,3)</f>
        <v>3</v>
      </c>
      <c r="I98" s="16" t="n">
        <f aca="false">IF(B98&gt;0,B98,"")</f>
        <v>12.0391160472074</v>
      </c>
      <c r="J98" s="16" t="n">
        <f aca="false">IF(I98="","",I98*Source!$B$77)</f>
        <v>120.391160472074</v>
      </c>
      <c r="L98" s="1" t="n">
        <f aca="false">IF(I98="","",0)</f>
        <v>0</v>
      </c>
    </row>
    <row r="99" customFormat="false" ht="12.8" hidden="false" customHeight="false" outlineLevel="0" collapsed="false">
      <c r="A99" s="12" t="s">
        <v>175</v>
      </c>
      <c r="B99" s="16" t="n">
        <f aca="false">Source!F12</f>
        <v>5.8864608659195</v>
      </c>
      <c r="C99" s="17" t="s">
        <v>173</v>
      </c>
      <c r="D99" s="12" t="str">
        <f aca="false">Projects!$B$2</f>
        <v>archetypes_metabo</v>
      </c>
      <c r="E99" s="12" t="s">
        <v>168</v>
      </c>
      <c r="F99" s="17" t="s">
        <v>139</v>
      </c>
      <c r="G99" s="12" t="s">
        <v>157</v>
      </c>
      <c r="H99" s="1" t="n">
        <f aca="false">IF(B99=0,0,3)</f>
        <v>3</v>
      </c>
      <c r="I99" s="16" t="n">
        <f aca="false">IF(B99&gt;0,B99,"")</f>
        <v>5.8864608659195</v>
      </c>
      <c r="J99" s="16" t="n">
        <f aca="false">IF(I99="","",I99*Source!$B$77)</f>
        <v>58.864608659195</v>
      </c>
      <c r="L99" s="1" t="n">
        <f aca="false">IF(I99="","",0)</f>
        <v>0</v>
      </c>
    </row>
    <row r="100" customFormat="false" ht="12.8" hidden="false" customHeight="false" outlineLevel="0" collapsed="false">
      <c r="A100" s="17" t="s">
        <v>176</v>
      </c>
      <c r="B100" s="16" t="n">
        <f aca="false">Source!F13</f>
        <v>7.27098067460725</v>
      </c>
      <c r="C100" s="17" t="s">
        <v>173</v>
      </c>
      <c r="D100" s="12" t="str">
        <f aca="false">Projects!$B$2</f>
        <v>archetypes_metabo</v>
      </c>
      <c r="E100" s="12" t="s">
        <v>168</v>
      </c>
      <c r="F100" s="17" t="s">
        <v>139</v>
      </c>
      <c r="G100" s="12" t="s">
        <v>157</v>
      </c>
      <c r="H100" s="1" t="n">
        <f aca="false">IF(B100=0,0,3)</f>
        <v>3</v>
      </c>
      <c r="I100" s="16" t="n">
        <f aca="false">IF(B100&gt;0,B100,"")</f>
        <v>7.27098067460725</v>
      </c>
      <c r="J100" s="16" t="n">
        <f aca="false">IF(I100="","",I100*Source!$B$77)</f>
        <v>72.7098067460725</v>
      </c>
      <c r="L100" s="1" t="n">
        <f aca="false">IF(I100="","",0)</f>
        <v>0</v>
      </c>
    </row>
    <row r="101" customFormat="false" ht="12.8" hidden="false" customHeight="false" outlineLevel="0" collapsed="false">
      <c r="A101" s="17" t="s">
        <v>177</v>
      </c>
      <c r="B101" s="16" t="n">
        <f aca="false">Source!F14</f>
        <v>11.2542821934004</v>
      </c>
      <c r="C101" s="17" t="s">
        <v>173</v>
      </c>
      <c r="D101" s="12" t="str">
        <f aca="false">Projects!$B$2</f>
        <v>archetypes_metabo</v>
      </c>
      <c r="E101" s="12" t="s">
        <v>168</v>
      </c>
      <c r="F101" s="17" t="s">
        <v>139</v>
      </c>
      <c r="G101" s="12" t="s">
        <v>157</v>
      </c>
      <c r="H101" s="1" t="n">
        <f aca="false">IF(B101=0,0,3)</f>
        <v>3</v>
      </c>
      <c r="I101" s="16" t="n">
        <f aca="false">IF(B101&gt;0,B101,"")</f>
        <v>11.2542821934004</v>
      </c>
      <c r="J101" s="16" t="n">
        <f aca="false">IF(I101="","",I101*Source!$B$77)</f>
        <v>112.542821934004</v>
      </c>
      <c r="L101" s="1" t="n">
        <f aca="false">IF(I101="","",0)</f>
        <v>0</v>
      </c>
    </row>
    <row r="102" customFormat="false" ht="12.8" hidden="false" customHeight="false" outlineLevel="0" collapsed="false">
      <c r="A102" s="17" t="s">
        <v>178</v>
      </c>
      <c r="B102" s="16" t="n">
        <f aca="false">Source!F15</f>
        <v>0.283796662519142</v>
      </c>
      <c r="C102" s="17" t="s">
        <v>173</v>
      </c>
      <c r="D102" s="12" t="str">
        <f aca="false">Projects!$B$2</f>
        <v>archetypes_metabo</v>
      </c>
      <c r="E102" s="12" t="s">
        <v>168</v>
      </c>
      <c r="F102" s="17" t="s">
        <v>139</v>
      </c>
      <c r="G102" s="12" t="s">
        <v>157</v>
      </c>
      <c r="H102" s="1" t="n">
        <f aca="false">IF(B102=0,0,3)</f>
        <v>3</v>
      </c>
      <c r="I102" s="16" t="n">
        <f aca="false">IF(B102&gt;0,B102,"")</f>
        <v>0.283796662519142</v>
      </c>
      <c r="J102" s="16" t="n">
        <f aca="false">IF(I102="","",I102*Source!$B$77)</f>
        <v>2.83796662519142</v>
      </c>
      <c r="L102" s="1" t="n">
        <f aca="false">IF(I102="","",0)</f>
        <v>0</v>
      </c>
    </row>
    <row r="103" customFormat="false" ht="12.8" hidden="false" customHeight="false" outlineLevel="0" collapsed="false">
      <c r="A103" s="17" t="s">
        <v>179</v>
      </c>
      <c r="B103" s="16" t="n">
        <f aca="false">Source!F16</f>
        <v>0</v>
      </c>
      <c r="C103" s="17" t="s">
        <v>173</v>
      </c>
      <c r="D103" s="12" t="str">
        <f aca="false">Projects!$B$2</f>
        <v>archetypes_metabo</v>
      </c>
      <c r="E103" s="12" t="s">
        <v>168</v>
      </c>
      <c r="F103" s="17" t="s">
        <v>139</v>
      </c>
      <c r="G103" s="12" t="s">
        <v>157</v>
      </c>
      <c r="H103" s="1" t="n">
        <f aca="false">IF(B103=0,0,3)</f>
        <v>0</v>
      </c>
      <c r="I103" s="16" t="str">
        <f aca="false">IF(B103&gt;0,B103,"")</f>
        <v/>
      </c>
      <c r="J103" s="16" t="str">
        <f aca="false">IF(I103="","",I103*Source!$B$77)</f>
        <v/>
      </c>
      <c r="L103" s="1" t="str">
        <f aca="false">IF(I103="","",0)</f>
        <v/>
      </c>
    </row>
    <row r="104" customFormat="false" ht="12.8" hidden="false" customHeight="false" outlineLevel="0" collapsed="false">
      <c r="A104" s="17" t="s">
        <v>180</v>
      </c>
      <c r="B104" s="16" t="n">
        <f aca="false">Source!F17</f>
        <v>0.212993879564909</v>
      </c>
      <c r="C104" s="17" t="s">
        <v>173</v>
      </c>
      <c r="D104" s="12" t="str">
        <f aca="false">Projects!$B$2</f>
        <v>archetypes_metabo</v>
      </c>
      <c r="E104" s="12" t="s">
        <v>168</v>
      </c>
      <c r="F104" s="17" t="s">
        <v>139</v>
      </c>
      <c r="G104" s="12" t="s">
        <v>157</v>
      </c>
      <c r="H104" s="1" t="n">
        <f aca="false">IF(B104=0,0,3)</f>
        <v>3</v>
      </c>
      <c r="I104" s="16" t="n">
        <f aca="false">IF(B104&gt;0,B104,"")</f>
        <v>0.212993879564909</v>
      </c>
      <c r="J104" s="16" t="n">
        <f aca="false">IF(I104="","",I104*Source!$B$77)</f>
        <v>2.12993879564909</v>
      </c>
      <c r="L104" s="1" t="n">
        <f aca="false">IF(I104="","",0)</f>
        <v>0</v>
      </c>
    </row>
    <row r="105" customFormat="false" ht="12.8" hidden="false" customHeight="false" outlineLevel="0" collapsed="false">
      <c r="A105" s="17" t="s">
        <v>181</v>
      </c>
      <c r="B105" s="16" t="n">
        <f aca="false">Source!F18</f>
        <v>0.674018335429887</v>
      </c>
      <c r="C105" s="17" t="s">
        <v>173</v>
      </c>
      <c r="D105" s="12" t="str">
        <f aca="false">Projects!$B$2</f>
        <v>archetypes_metabo</v>
      </c>
      <c r="E105" s="12" t="s">
        <v>168</v>
      </c>
      <c r="F105" s="17" t="s">
        <v>139</v>
      </c>
      <c r="G105" s="12" t="s">
        <v>157</v>
      </c>
      <c r="H105" s="1" t="n">
        <f aca="false">IF(B105=0,0,3)</f>
        <v>3</v>
      </c>
      <c r="I105" s="16" t="n">
        <f aca="false">IF(B105&gt;0,B105,"")</f>
        <v>0.674018335429887</v>
      </c>
      <c r="J105" s="16" t="n">
        <f aca="false">IF(I105="","",I105*Source!$B$77)</f>
        <v>6.74018335429887</v>
      </c>
      <c r="L105" s="1" t="n">
        <f aca="false">IF(I105="","",0)</f>
        <v>0</v>
      </c>
    </row>
    <row r="106" customFormat="false" ht="12.8" hidden="false" customHeight="false" outlineLevel="0" collapsed="false">
      <c r="A106" s="17" t="s">
        <v>182</v>
      </c>
      <c r="B106" s="16" t="n">
        <f aca="false">Source!F19</f>
        <v>2.7556978712371</v>
      </c>
      <c r="C106" s="17" t="s">
        <v>173</v>
      </c>
      <c r="D106" s="12" t="str">
        <f aca="false">Projects!$B$2</f>
        <v>archetypes_metabo</v>
      </c>
      <c r="E106" s="12" t="s">
        <v>168</v>
      </c>
      <c r="F106" s="17" t="s">
        <v>139</v>
      </c>
      <c r="G106" s="12" t="s">
        <v>157</v>
      </c>
      <c r="H106" s="1" t="n">
        <f aca="false">IF(B106=0,0,3)</f>
        <v>3</v>
      </c>
      <c r="I106" s="16" t="n">
        <f aca="false">IF(B106&gt;0,B106,"")</f>
        <v>2.7556978712371</v>
      </c>
      <c r="J106" s="16" t="n">
        <f aca="false">IF(I106="","",I106*Source!$B$77)</f>
        <v>27.556978712371</v>
      </c>
      <c r="L106" s="1" t="n">
        <f aca="false">IF(I106="","",0)</f>
        <v>0</v>
      </c>
    </row>
    <row r="107" customFormat="false" ht="12.8" hidden="false" customHeight="false" outlineLevel="0" collapsed="false">
      <c r="A107" s="17" t="s">
        <v>183</v>
      </c>
      <c r="B107" s="16" t="n">
        <f aca="false">Source!F20</f>
        <v>5.97349243834701</v>
      </c>
      <c r="C107" s="17" t="s">
        <v>173</v>
      </c>
      <c r="D107" s="12" t="str">
        <f aca="false">Projects!$B$2</f>
        <v>archetypes_metabo</v>
      </c>
      <c r="E107" s="12" t="s">
        <v>168</v>
      </c>
      <c r="F107" s="17" t="s">
        <v>139</v>
      </c>
      <c r="G107" s="12" t="s">
        <v>157</v>
      </c>
      <c r="H107" s="1" t="n">
        <f aca="false">IF(B107=0,0,3)</f>
        <v>3</v>
      </c>
      <c r="I107" s="16" t="n">
        <f aca="false">IF(B107&gt;0,B107,"")</f>
        <v>5.97349243834701</v>
      </c>
      <c r="J107" s="16" t="n">
        <f aca="false">IF(I107="","",I107*Source!$B$77)</f>
        <v>59.7349243834701</v>
      </c>
      <c r="L107" s="1" t="n">
        <f aca="false">IF(I107="","",0)</f>
        <v>0</v>
      </c>
    </row>
    <row r="108" customFormat="false" ht="12.8" hidden="false" customHeight="false" outlineLevel="0" collapsed="false">
      <c r="A108" s="12" t="s">
        <v>184</v>
      </c>
      <c r="B108" s="16" t="n">
        <f aca="false">Source!F21</f>
        <v>0.27915854146908</v>
      </c>
      <c r="C108" s="17" t="s">
        <v>173</v>
      </c>
      <c r="D108" s="12" t="str">
        <f aca="false">Projects!$B$2</f>
        <v>archetypes_metabo</v>
      </c>
      <c r="E108" s="12" t="s">
        <v>168</v>
      </c>
      <c r="F108" s="17" t="s">
        <v>139</v>
      </c>
      <c r="G108" s="12" t="s">
        <v>157</v>
      </c>
      <c r="H108" s="1" t="n">
        <f aca="false">IF(B108=0,0,3)</f>
        <v>3</v>
      </c>
      <c r="I108" s="16" t="n">
        <f aca="false">IF(B108&gt;0,B108,"")</f>
        <v>0.27915854146908</v>
      </c>
      <c r="J108" s="16" t="n">
        <f aca="false">IF(I108="","",I108*Source!$B$77)</f>
        <v>2.7915854146908</v>
      </c>
      <c r="L108" s="1" t="n">
        <f aca="false">IF(I108="","",0)</f>
        <v>0</v>
      </c>
    </row>
    <row r="109" customFormat="false" ht="12.8" hidden="false" customHeight="false" outlineLevel="0" collapsed="false">
      <c r="A109" s="12" t="s">
        <v>25</v>
      </c>
      <c r="B109" s="16" t="n">
        <f aca="false">Source!F22</f>
        <v>2800</v>
      </c>
      <c r="C109" s="17" t="s">
        <v>185</v>
      </c>
      <c r="D109" s="12" t="str">
        <f aca="false">Projects!$B$2</f>
        <v>archetypes_metabo</v>
      </c>
      <c r="E109" s="12" t="s">
        <v>168</v>
      </c>
      <c r="F109" s="17" t="s">
        <v>139</v>
      </c>
      <c r="G109" s="12" t="s">
        <v>157</v>
      </c>
      <c r="H109" s="1" t="n">
        <f aca="false">IF(B109=0,0,3)</f>
        <v>3</v>
      </c>
      <c r="I109" s="16" t="n">
        <f aca="false">IF(B109&gt;0,B109,"")</f>
        <v>2800</v>
      </c>
      <c r="J109" s="16" t="n">
        <f aca="false">IF(I109="","",I109*Source!$B$77)</f>
        <v>28000</v>
      </c>
      <c r="L109" s="1" t="n">
        <f aca="false">IF(I109="","",0)</f>
        <v>0</v>
      </c>
    </row>
    <row r="110" customFormat="false" ht="12.8" hidden="false" customHeight="false" outlineLevel="0" collapsed="false">
      <c r="A110" s="12" t="s">
        <v>27</v>
      </c>
      <c r="B110" s="16" t="n">
        <f aca="false">Source!F23</f>
        <v>3300</v>
      </c>
      <c r="C110" s="17" t="s">
        <v>185</v>
      </c>
      <c r="D110" s="12" t="str">
        <f aca="false">Projects!$B$2</f>
        <v>archetypes_metabo</v>
      </c>
      <c r="E110" s="12" t="s">
        <v>168</v>
      </c>
      <c r="F110" s="17" t="s">
        <v>139</v>
      </c>
      <c r="G110" s="12" t="s">
        <v>157</v>
      </c>
      <c r="H110" s="1" t="n">
        <f aca="false">IF(B110=0,0,3)</f>
        <v>3</v>
      </c>
      <c r="I110" s="16" t="n">
        <f aca="false">IF(B110&gt;0,B110,"")</f>
        <v>3300</v>
      </c>
      <c r="J110" s="16" t="n">
        <f aca="false">IF(I110="","",I110*Source!$B$77)</f>
        <v>33000</v>
      </c>
      <c r="L110" s="1" t="n">
        <f aca="false">IF(I110="","",0)</f>
        <v>0</v>
      </c>
    </row>
    <row r="111" customFormat="false" ht="12.8" hidden="false" customHeight="false" outlineLevel="0" collapsed="false">
      <c r="A111" s="4" t="s">
        <v>28</v>
      </c>
      <c r="B111" s="16" t="n">
        <f aca="false">Source!F24</f>
        <v>950</v>
      </c>
      <c r="C111" s="17" t="s">
        <v>185</v>
      </c>
      <c r="D111" s="12" t="str">
        <f aca="false">Projects!$B$2</f>
        <v>archetypes_metabo</v>
      </c>
      <c r="E111" s="12" t="s">
        <v>168</v>
      </c>
      <c r="F111" s="17" t="s">
        <v>139</v>
      </c>
      <c r="G111" s="12" t="s">
        <v>157</v>
      </c>
      <c r="H111" s="1" t="n">
        <f aca="false">IF(B111=0,0,3)</f>
        <v>3</v>
      </c>
      <c r="I111" s="16" t="n">
        <f aca="false">IF(B111&gt;0,B111,"")</f>
        <v>950</v>
      </c>
      <c r="J111" s="16" t="n">
        <f aca="false">IF(I111="","",I111*Source!$B$77)</f>
        <v>9500</v>
      </c>
      <c r="L111" s="1" t="n">
        <f aca="false">IF(I111="","",0)</f>
        <v>0</v>
      </c>
    </row>
    <row r="112" customFormat="false" ht="12.8" hidden="false" customHeight="false" outlineLevel="0" collapsed="false">
      <c r="A112" s="4" t="s">
        <v>29</v>
      </c>
      <c r="B112" s="16" t="n">
        <f aca="false">Source!F25</f>
        <v>1200</v>
      </c>
      <c r="C112" s="17" t="s">
        <v>185</v>
      </c>
      <c r="D112" s="12" t="str">
        <f aca="false">Projects!$B$2</f>
        <v>archetypes_metabo</v>
      </c>
      <c r="E112" s="12" t="s">
        <v>168</v>
      </c>
      <c r="F112" s="17" t="s">
        <v>139</v>
      </c>
      <c r="G112" s="12" t="s">
        <v>157</v>
      </c>
      <c r="H112" s="1" t="n">
        <f aca="false">IF(B112=0,0,3)</f>
        <v>3</v>
      </c>
      <c r="I112" s="16" t="n">
        <f aca="false">IF(B112&gt;0,B112,"")</f>
        <v>1200</v>
      </c>
      <c r="J112" s="16" t="n">
        <f aca="false">IF(I112="","",I112*Source!$B$77)</f>
        <v>12000</v>
      </c>
      <c r="L112" s="1" t="n">
        <f aca="false">IF(I112="","",0)</f>
        <v>0</v>
      </c>
    </row>
    <row r="113" customFormat="false" ht="12.8" hidden="false" customHeight="false" outlineLevel="0" collapsed="false">
      <c r="A113" s="12" t="s">
        <v>30</v>
      </c>
      <c r="B113" s="16" t="n">
        <f aca="false">Source!F26</f>
        <v>0.016627358490566</v>
      </c>
      <c r="C113" s="17" t="s">
        <v>186</v>
      </c>
      <c r="D113" s="12" t="str">
        <f aca="false">Projects!$B$2</f>
        <v>archetypes_metabo</v>
      </c>
      <c r="E113" s="12" t="s">
        <v>168</v>
      </c>
      <c r="F113" s="17" t="s">
        <v>139</v>
      </c>
      <c r="G113" s="12" t="s">
        <v>157</v>
      </c>
      <c r="H113" s="1" t="n">
        <f aca="false">IF(B113=0,0,3)</f>
        <v>3</v>
      </c>
      <c r="I113" s="16" t="n">
        <f aca="false">IF(B113&gt;0,B113,"")</f>
        <v>0.016627358490566</v>
      </c>
      <c r="J113" s="16" t="n">
        <f aca="false">IF(I113="","",I113*Source!$B$77)</f>
        <v>0.16627358490566</v>
      </c>
      <c r="L113" s="1" t="n">
        <f aca="false">IF(I113="","",0)</f>
        <v>0</v>
      </c>
    </row>
    <row r="114" customFormat="false" ht="12.8" hidden="false" customHeight="false" outlineLevel="0" collapsed="false">
      <c r="A114" s="12" t="s">
        <v>32</v>
      </c>
      <c r="B114" s="16" t="n">
        <f aca="false">Source!F27</f>
        <v>0.05</v>
      </c>
      <c r="C114" s="17" t="s">
        <v>187</v>
      </c>
      <c r="D114" s="12" t="str">
        <f aca="false">Projects!$B$2</f>
        <v>archetypes_metabo</v>
      </c>
      <c r="E114" s="12" t="s">
        <v>168</v>
      </c>
      <c r="F114" s="17" t="s">
        <v>139</v>
      </c>
      <c r="G114" s="12" t="s">
        <v>157</v>
      </c>
      <c r="H114" s="1" t="n">
        <f aca="false">IF(B114=0,0,3)</f>
        <v>3</v>
      </c>
      <c r="I114" s="16" t="n">
        <f aca="false">IF(B114&gt;0,B114,"")</f>
        <v>0.05</v>
      </c>
      <c r="J114" s="16" t="n">
        <f aca="false">IF(I114="","",I114*Source!$B$77)</f>
        <v>0.5</v>
      </c>
      <c r="L114" s="1" t="n">
        <f aca="false">IF(I114="","",0)</f>
        <v>0</v>
      </c>
    </row>
    <row r="115" customFormat="false" ht="12.8" hidden="false" customHeight="false" outlineLevel="0" collapsed="false">
      <c r="D115" s="1"/>
      <c r="E115" s="1"/>
    </row>
    <row r="116" customFormat="false" ht="15" hidden="false" customHeight="false" outlineLevel="0" collapsed="false">
      <c r="A116" s="14" t="s">
        <v>131</v>
      </c>
      <c r="B116" s="14" t="s">
        <v>159</v>
      </c>
      <c r="C116" s="13"/>
      <c r="D116" s="12"/>
      <c r="E116" s="12"/>
      <c r="F116" s="12"/>
      <c r="G116" s="12"/>
    </row>
    <row r="117" customFormat="false" ht="12.8" hidden="false" customHeight="false" outlineLevel="0" collapsed="false">
      <c r="A117" s="12" t="s">
        <v>133</v>
      </c>
      <c r="B117" s="12" t="s">
        <v>168</v>
      </c>
      <c r="C117" s="12"/>
      <c r="D117" s="12"/>
      <c r="E117" s="12"/>
      <c r="F117" s="12"/>
      <c r="G117" s="12"/>
    </row>
    <row r="118" customFormat="false" ht="13.8" hidden="false" customHeight="false" outlineLevel="0" collapsed="false">
      <c r="A118" s="12" t="s">
        <v>135</v>
      </c>
      <c r="B118" s="12" t="s">
        <v>192</v>
      </c>
      <c r="C118" s="13"/>
      <c r="D118" s="12"/>
      <c r="E118" s="12"/>
      <c r="F118" s="12"/>
      <c r="G118" s="12"/>
    </row>
    <row r="119" customFormat="false" ht="12.8" hidden="false" customHeight="false" outlineLevel="0" collapsed="false">
      <c r="A119" s="12" t="s">
        <v>136</v>
      </c>
      <c r="B119" s="12" t="s">
        <v>171</v>
      </c>
      <c r="C119" s="12"/>
      <c r="D119" s="12"/>
      <c r="E119" s="12"/>
      <c r="F119" s="12"/>
      <c r="G119" s="12"/>
    </row>
    <row r="120" customFormat="false" ht="12.8" hidden="false" customHeight="false" outlineLevel="0" collapsed="false">
      <c r="A120" s="12" t="s">
        <v>138</v>
      </c>
      <c r="B120" s="12" t="s">
        <v>139</v>
      </c>
      <c r="C120" s="12"/>
      <c r="D120" s="12"/>
      <c r="E120" s="12"/>
      <c r="F120" s="12"/>
      <c r="G120" s="12"/>
    </row>
    <row r="121" customFormat="false" ht="12.8" hidden="false" customHeight="false" outlineLevel="0" collapsed="false">
      <c r="A121" s="12" t="s">
        <v>140</v>
      </c>
      <c r="B121" s="12" t="n">
        <v>1</v>
      </c>
      <c r="C121" s="12"/>
      <c r="D121" s="12"/>
      <c r="E121" s="12"/>
      <c r="F121" s="12"/>
      <c r="G121" s="12"/>
    </row>
    <row r="122" customFormat="false" ht="12.8" hidden="false" customHeight="false" outlineLevel="0" collapsed="false">
      <c r="A122" s="12" t="s">
        <v>141</v>
      </c>
      <c r="B122" s="12" t="s">
        <v>142</v>
      </c>
      <c r="C122" s="12"/>
      <c r="D122" s="12"/>
      <c r="E122" s="12"/>
      <c r="F122" s="12"/>
      <c r="G122" s="12"/>
    </row>
    <row r="123" customFormat="false" ht="12.8" hidden="false" customHeight="false" outlineLevel="0" collapsed="false">
      <c r="A123" s="12" t="s">
        <v>143</v>
      </c>
      <c r="B123" s="12" t="s">
        <v>156</v>
      </c>
      <c r="C123" s="12"/>
      <c r="D123" s="12"/>
      <c r="E123" s="12"/>
      <c r="F123" s="12"/>
      <c r="G123" s="12"/>
    </row>
    <row r="124" customFormat="false" ht="15" hidden="false" customHeight="false" outlineLevel="0" collapsed="false">
      <c r="A124" s="14" t="s">
        <v>144</v>
      </c>
      <c r="B124" s="12"/>
      <c r="C124" s="12"/>
      <c r="D124" s="12"/>
      <c r="E124" s="12"/>
      <c r="F124" s="12"/>
      <c r="G124" s="12"/>
    </row>
    <row r="125" customFormat="false" ht="15" hidden="false" customHeight="false" outlineLevel="0" collapsed="false">
      <c r="A125" s="14" t="s">
        <v>145</v>
      </c>
      <c r="B125" s="14" t="s">
        <v>146</v>
      </c>
      <c r="C125" s="14" t="s">
        <v>143</v>
      </c>
      <c r="D125" s="14" t="s">
        <v>147</v>
      </c>
      <c r="E125" s="14" t="s">
        <v>133</v>
      </c>
      <c r="F125" s="14" t="s">
        <v>138</v>
      </c>
      <c r="G125" s="14" t="s">
        <v>141</v>
      </c>
      <c r="H125" s="15" t="s">
        <v>148</v>
      </c>
      <c r="I125" s="15" t="s">
        <v>149</v>
      </c>
      <c r="J125" s="15" t="s">
        <v>150</v>
      </c>
      <c r="K125" s="15" t="s">
        <v>151</v>
      </c>
      <c r="L125" s="15" t="s">
        <v>152</v>
      </c>
      <c r="M125" s="15" t="s">
        <v>153</v>
      </c>
    </row>
    <row r="126" customFormat="false" ht="12.8" hidden="false" customHeight="false" outlineLevel="0" collapsed="false">
      <c r="A126" s="12" t="s">
        <v>159</v>
      </c>
      <c r="B126" s="16" t="n">
        <v>1</v>
      </c>
      <c r="C126" s="17" t="s">
        <v>156</v>
      </c>
      <c r="D126" s="12" t="str">
        <f aca="false">Projects!$B$2</f>
        <v>archetypes_metabo</v>
      </c>
      <c r="E126" s="12" t="s">
        <v>168</v>
      </c>
      <c r="F126" s="17" t="s">
        <v>139</v>
      </c>
      <c r="G126" s="1" t="s">
        <v>154</v>
      </c>
    </row>
    <row r="127" customFormat="false" ht="12.8" hidden="false" customHeight="false" outlineLevel="0" collapsed="false">
      <c r="A127" s="12" t="s">
        <v>172</v>
      </c>
      <c r="B127" s="16" t="n">
        <f aca="false">Source!G10</f>
        <v>371.598591253266</v>
      </c>
      <c r="C127" s="17" t="s">
        <v>173</v>
      </c>
      <c r="D127" s="12" t="str">
        <f aca="false">Projects!$B$2</f>
        <v>archetypes_metabo</v>
      </c>
      <c r="E127" s="12" t="s">
        <v>168</v>
      </c>
      <c r="F127" s="17" t="s">
        <v>139</v>
      </c>
      <c r="G127" s="12" t="s">
        <v>157</v>
      </c>
      <c r="H127" s="1" t="n">
        <f aca="false">IF(B127=0,0,3)</f>
        <v>3</v>
      </c>
      <c r="I127" s="16" t="n">
        <f aca="false">IF(B127&gt;0,B127,"")</f>
        <v>371.598591253266</v>
      </c>
      <c r="J127" s="16" t="n">
        <f aca="false">IF(I127="","",I127*Source!$B$77)</f>
        <v>3715.98591253266</v>
      </c>
      <c r="L127" s="1" t="n">
        <f aca="false">IF(I127="","",0)</f>
        <v>0</v>
      </c>
    </row>
    <row r="128" customFormat="false" ht="12.8" hidden="false" customHeight="false" outlineLevel="0" collapsed="false">
      <c r="A128" s="12" t="s">
        <v>174</v>
      </c>
      <c r="B128" s="16" t="n">
        <f aca="false">Source!G11</f>
        <v>1.66349533681056</v>
      </c>
      <c r="C128" s="17" t="s">
        <v>173</v>
      </c>
      <c r="D128" s="12" t="str">
        <f aca="false">Projects!$B$2</f>
        <v>archetypes_metabo</v>
      </c>
      <c r="E128" s="12" t="s">
        <v>168</v>
      </c>
      <c r="F128" s="17" t="s">
        <v>139</v>
      </c>
      <c r="G128" s="12" t="s">
        <v>157</v>
      </c>
      <c r="H128" s="1" t="n">
        <f aca="false">IF(B128=0,0,3)</f>
        <v>3</v>
      </c>
      <c r="I128" s="16" t="n">
        <f aca="false">IF(B128&gt;0,B128,"")</f>
        <v>1.66349533681056</v>
      </c>
      <c r="J128" s="16" t="n">
        <f aca="false">IF(I128="","",I128*Source!$B$77)</f>
        <v>16.6349533681056</v>
      </c>
      <c r="L128" s="1" t="n">
        <f aca="false">IF(I128="","",0)</f>
        <v>0</v>
      </c>
    </row>
    <row r="129" customFormat="false" ht="12.8" hidden="false" customHeight="false" outlineLevel="0" collapsed="false">
      <c r="A129" s="12" t="s">
        <v>175</v>
      </c>
      <c r="B129" s="16" t="n">
        <f aca="false">Source!G12</f>
        <v>5.38879235589935</v>
      </c>
      <c r="C129" s="17" t="s">
        <v>173</v>
      </c>
      <c r="D129" s="12" t="str">
        <f aca="false">Projects!$B$2</f>
        <v>archetypes_metabo</v>
      </c>
      <c r="E129" s="12" t="s">
        <v>168</v>
      </c>
      <c r="F129" s="17" t="s">
        <v>139</v>
      </c>
      <c r="G129" s="12" t="s">
        <v>157</v>
      </c>
      <c r="H129" s="1" t="n">
        <f aca="false">IF(B129=0,0,3)</f>
        <v>3</v>
      </c>
      <c r="I129" s="16" t="n">
        <f aca="false">IF(B129&gt;0,B129,"")</f>
        <v>5.38879235589935</v>
      </c>
      <c r="J129" s="16" t="n">
        <f aca="false">IF(I129="","",I129*Source!$B$77)</f>
        <v>53.8879235589935</v>
      </c>
      <c r="L129" s="1" t="n">
        <f aca="false">IF(I129="","",0)</f>
        <v>0</v>
      </c>
    </row>
    <row r="130" customFormat="false" ht="12.8" hidden="false" customHeight="false" outlineLevel="0" collapsed="false">
      <c r="A130" s="17" t="s">
        <v>176</v>
      </c>
      <c r="B130" s="16" t="n">
        <f aca="false">Source!G13</f>
        <v>6.08084476155493</v>
      </c>
      <c r="C130" s="17" t="s">
        <v>173</v>
      </c>
      <c r="D130" s="12" t="str">
        <f aca="false">Projects!$B$2</f>
        <v>archetypes_metabo</v>
      </c>
      <c r="E130" s="12" t="s">
        <v>168</v>
      </c>
      <c r="F130" s="17" t="s">
        <v>139</v>
      </c>
      <c r="G130" s="12" t="s">
        <v>157</v>
      </c>
      <c r="H130" s="1" t="n">
        <f aca="false">IF(B130=0,0,3)</f>
        <v>3</v>
      </c>
      <c r="I130" s="16" t="n">
        <f aca="false">IF(B130&gt;0,B130,"")</f>
        <v>6.08084476155493</v>
      </c>
      <c r="J130" s="16" t="n">
        <f aca="false">IF(I130="","",I130*Source!$B$77)</f>
        <v>60.8084476155493</v>
      </c>
      <c r="L130" s="1" t="n">
        <f aca="false">IF(I130="","",0)</f>
        <v>0</v>
      </c>
    </row>
    <row r="131" customFormat="false" ht="12.8" hidden="false" customHeight="false" outlineLevel="0" collapsed="false">
      <c r="A131" s="17" t="s">
        <v>177</v>
      </c>
      <c r="B131" s="16" t="n">
        <f aca="false">Source!G14</f>
        <v>11.9220641760255</v>
      </c>
      <c r="C131" s="17" t="s">
        <v>173</v>
      </c>
      <c r="D131" s="12" t="str">
        <f aca="false">Projects!$B$2</f>
        <v>archetypes_metabo</v>
      </c>
      <c r="E131" s="12" t="s">
        <v>168</v>
      </c>
      <c r="F131" s="17" t="s">
        <v>139</v>
      </c>
      <c r="G131" s="12" t="s">
        <v>157</v>
      </c>
      <c r="H131" s="1" t="n">
        <f aca="false">IF(B131=0,0,3)</f>
        <v>3</v>
      </c>
      <c r="I131" s="16" t="n">
        <f aca="false">IF(B131&gt;0,B131,"")</f>
        <v>11.9220641760255</v>
      </c>
      <c r="J131" s="16" t="n">
        <f aca="false">IF(I131="","",I131*Source!$B$77)</f>
        <v>119.220641760255</v>
      </c>
      <c r="L131" s="1" t="n">
        <f aca="false">IF(I131="","",0)</f>
        <v>0</v>
      </c>
    </row>
    <row r="132" customFormat="false" ht="12.8" hidden="false" customHeight="false" outlineLevel="0" collapsed="false">
      <c r="A132" s="17" t="s">
        <v>178</v>
      </c>
      <c r="B132" s="16" t="n">
        <f aca="false">Source!G15</f>
        <v>0.330208281139609</v>
      </c>
      <c r="C132" s="17" t="s">
        <v>173</v>
      </c>
      <c r="D132" s="12" t="str">
        <f aca="false">Projects!$B$2</f>
        <v>archetypes_metabo</v>
      </c>
      <c r="E132" s="12" t="s">
        <v>168</v>
      </c>
      <c r="F132" s="17" t="s">
        <v>139</v>
      </c>
      <c r="G132" s="12" t="s">
        <v>157</v>
      </c>
      <c r="H132" s="1" t="n">
        <f aca="false">IF(B132=0,0,3)</f>
        <v>3</v>
      </c>
      <c r="I132" s="16" t="n">
        <f aca="false">IF(B132&gt;0,B132,"")</f>
        <v>0.330208281139609</v>
      </c>
      <c r="J132" s="16" t="n">
        <f aca="false">IF(I132="","",I132*Source!$B$77)</f>
        <v>3.30208281139609</v>
      </c>
      <c r="L132" s="1" t="n">
        <f aca="false">IF(I132="","",0)</f>
        <v>0</v>
      </c>
    </row>
    <row r="133" customFormat="false" ht="12.8" hidden="false" customHeight="false" outlineLevel="0" collapsed="false">
      <c r="A133" s="17" t="s">
        <v>179</v>
      </c>
      <c r="B133" s="16" t="n">
        <f aca="false">Source!G16</f>
        <v>0</v>
      </c>
      <c r="C133" s="17" t="s">
        <v>173</v>
      </c>
      <c r="D133" s="12" t="str">
        <f aca="false">Projects!$B$2</f>
        <v>archetypes_metabo</v>
      </c>
      <c r="E133" s="12" t="s">
        <v>168</v>
      </c>
      <c r="F133" s="17" t="s">
        <v>139</v>
      </c>
      <c r="G133" s="12" t="s">
        <v>157</v>
      </c>
      <c r="H133" s="1" t="n">
        <f aca="false">IF(B133=0,0,3)</f>
        <v>0</v>
      </c>
      <c r="I133" s="16" t="str">
        <f aca="false">IF(B133&gt;0,B133,"")</f>
        <v/>
      </c>
      <c r="J133" s="16" t="str">
        <f aca="false">IF(I133="","",I133*Source!$B$77)</f>
        <v/>
      </c>
      <c r="L133" s="1" t="str">
        <f aca="false">IF(I133="","",0)</f>
        <v/>
      </c>
    </row>
    <row r="134" customFormat="false" ht="12.8" hidden="false" customHeight="false" outlineLevel="0" collapsed="false">
      <c r="A134" s="17" t="s">
        <v>180</v>
      </c>
      <c r="B134" s="16" t="n">
        <f aca="false">Source!G17</f>
        <v>0.292049725669897</v>
      </c>
      <c r="C134" s="17" t="s">
        <v>173</v>
      </c>
      <c r="D134" s="12" t="str">
        <f aca="false">Projects!$B$2</f>
        <v>archetypes_metabo</v>
      </c>
      <c r="E134" s="12" t="s">
        <v>168</v>
      </c>
      <c r="F134" s="17" t="s">
        <v>139</v>
      </c>
      <c r="G134" s="12" t="s">
        <v>157</v>
      </c>
      <c r="H134" s="1" t="n">
        <f aca="false">IF(B134=0,0,3)</f>
        <v>3</v>
      </c>
      <c r="I134" s="16" t="n">
        <f aca="false">IF(B134&gt;0,B134,"")</f>
        <v>0.292049725669897</v>
      </c>
      <c r="J134" s="16" t="n">
        <f aca="false">IF(I134="","",I134*Source!$B$77)</f>
        <v>2.92049725669897</v>
      </c>
      <c r="L134" s="1" t="n">
        <f aca="false">IF(I134="","",0)</f>
        <v>0</v>
      </c>
    </row>
    <row r="135" customFormat="false" ht="12.8" hidden="false" customHeight="false" outlineLevel="0" collapsed="false">
      <c r="A135" s="17" t="s">
        <v>181</v>
      </c>
      <c r="B135" s="16" t="n">
        <f aca="false">Source!G18</f>
        <v>0.216300633300902</v>
      </c>
      <c r="C135" s="17" t="s">
        <v>173</v>
      </c>
      <c r="D135" s="12" t="str">
        <f aca="false">Projects!$B$2</f>
        <v>archetypes_metabo</v>
      </c>
      <c r="E135" s="12" t="s">
        <v>168</v>
      </c>
      <c r="F135" s="17" t="s">
        <v>139</v>
      </c>
      <c r="G135" s="12" t="s">
        <v>157</v>
      </c>
      <c r="H135" s="1" t="n">
        <f aca="false">IF(B135=0,0,3)</f>
        <v>3</v>
      </c>
      <c r="I135" s="16" t="n">
        <f aca="false">IF(B135&gt;0,B135,"")</f>
        <v>0.216300633300902</v>
      </c>
      <c r="J135" s="16" t="n">
        <f aca="false">IF(I135="","",I135*Source!$B$77)</f>
        <v>2.16300633300902</v>
      </c>
      <c r="L135" s="1" t="n">
        <f aca="false">IF(I135="","",0)</f>
        <v>0</v>
      </c>
    </row>
    <row r="136" customFormat="false" ht="12.8" hidden="false" customHeight="false" outlineLevel="0" collapsed="false">
      <c r="A136" s="17" t="s">
        <v>182</v>
      </c>
      <c r="B136" s="16" t="n">
        <f aca="false">Source!G19</f>
        <v>3.38279424066537</v>
      </c>
      <c r="C136" s="17" t="s">
        <v>173</v>
      </c>
      <c r="D136" s="12" t="str">
        <f aca="false">Projects!$B$2</f>
        <v>archetypes_metabo</v>
      </c>
      <c r="E136" s="12" t="s">
        <v>168</v>
      </c>
      <c r="F136" s="17" t="s">
        <v>139</v>
      </c>
      <c r="G136" s="12" t="s">
        <v>157</v>
      </c>
      <c r="H136" s="1" t="n">
        <f aca="false">IF(B136=0,0,3)</f>
        <v>3</v>
      </c>
      <c r="I136" s="16" t="n">
        <f aca="false">IF(B136&gt;0,B136,"")</f>
        <v>3.38279424066537</v>
      </c>
      <c r="J136" s="16" t="n">
        <f aca="false">IF(I136="","",I136*Source!$B$77)</f>
        <v>33.8279424066537</v>
      </c>
      <c r="L136" s="1" t="n">
        <f aca="false">IF(I136="","",0)</f>
        <v>0</v>
      </c>
    </row>
    <row r="137" customFormat="false" ht="12.8" hidden="false" customHeight="false" outlineLevel="0" collapsed="false">
      <c r="A137" s="17" t="s">
        <v>183</v>
      </c>
      <c r="B137" s="16" t="n">
        <f aca="false">Source!G20</f>
        <v>5.23972364085629</v>
      </c>
      <c r="C137" s="17" t="s">
        <v>173</v>
      </c>
      <c r="D137" s="12" t="str">
        <f aca="false">Projects!$B$2</f>
        <v>archetypes_metabo</v>
      </c>
      <c r="E137" s="12" t="s">
        <v>168</v>
      </c>
      <c r="F137" s="17" t="s">
        <v>139</v>
      </c>
      <c r="G137" s="12" t="s">
        <v>157</v>
      </c>
      <c r="H137" s="1" t="n">
        <f aca="false">IF(B137=0,0,3)</f>
        <v>3</v>
      </c>
      <c r="I137" s="16" t="n">
        <f aca="false">IF(B137&gt;0,B137,"")</f>
        <v>5.23972364085629</v>
      </c>
      <c r="J137" s="16" t="n">
        <f aca="false">IF(I137="","",I137*Source!$B$77)</f>
        <v>52.3972364085629</v>
      </c>
      <c r="L137" s="1" t="n">
        <f aca="false">IF(I137="","",0)</f>
        <v>0</v>
      </c>
    </row>
    <row r="138" customFormat="false" ht="12.8" hidden="false" customHeight="false" outlineLevel="0" collapsed="false">
      <c r="A138" s="12" t="s">
        <v>184</v>
      </c>
      <c r="B138" s="16" t="n">
        <f aca="false">Source!G21</f>
        <v>0.292376972990324</v>
      </c>
      <c r="C138" s="17" t="s">
        <v>173</v>
      </c>
      <c r="D138" s="12" t="str">
        <f aca="false">Projects!$B$2</f>
        <v>archetypes_metabo</v>
      </c>
      <c r="E138" s="12" t="s">
        <v>168</v>
      </c>
      <c r="F138" s="17" t="s">
        <v>139</v>
      </c>
      <c r="G138" s="12" t="s">
        <v>157</v>
      </c>
      <c r="H138" s="1" t="n">
        <f aca="false">IF(B138=0,0,3)</f>
        <v>3</v>
      </c>
      <c r="I138" s="16" t="n">
        <f aca="false">IF(B138&gt;0,B138,"")</f>
        <v>0.292376972990324</v>
      </c>
      <c r="J138" s="16" t="n">
        <f aca="false">IF(I138="","",I138*Source!$B$77)</f>
        <v>2.92376972990324</v>
      </c>
      <c r="L138" s="1" t="n">
        <f aca="false">IF(I138="","",0)</f>
        <v>0</v>
      </c>
    </row>
    <row r="139" customFormat="false" ht="12.8" hidden="false" customHeight="false" outlineLevel="0" collapsed="false">
      <c r="A139" s="12" t="s">
        <v>25</v>
      </c>
      <c r="B139" s="16" t="n">
        <f aca="false">Source!G22</f>
        <v>3500</v>
      </c>
      <c r="C139" s="17" t="s">
        <v>185</v>
      </c>
      <c r="D139" s="12" t="str">
        <f aca="false">Projects!$B$2</f>
        <v>archetypes_metabo</v>
      </c>
      <c r="E139" s="12" t="s">
        <v>168</v>
      </c>
      <c r="F139" s="17" t="s">
        <v>139</v>
      </c>
      <c r="G139" s="12" t="s">
        <v>157</v>
      </c>
      <c r="H139" s="1" t="n">
        <f aca="false">IF(B139=0,0,3)</f>
        <v>3</v>
      </c>
      <c r="I139" s="16" t="n">
        <f aca="false">IF(B139&gt;0,B139,"")</f>
        <v>3500</v>
      </c>
      <c r="J139" s="16" t="n">
        <f aca="false">IF(I139="","",I139*Source!$B$77)</f>
        <v>35000</v>
      </c>
      <c r="L139" s="1" t="n">
        <f aca="false">IF(I139="","",0)</f>
        <v>0</v>
      </c>
    </row>
    <row r="140" customFormat="false" ht="12.8" hidden="false" customHeight="false" outlineLevel="0" collapsed="false">
      <c r="A140" s="12" t="s">
        <v>27</v>
      </c>
      <c r="B140" s="16" t="n">
        <f aca="false">Source!G23</f>
        <v>5350</v>
      </c>
      <c r="C140" s="17" t="s">
        <v>185</v>
      </c>
      <c r="D140" s="12" t="str">
        <f aca="false">Projects!$B$2</f>
        <v>archetypes_metabo</v>
      </c>
      <c r="E140" s="12" t="s">
        <v>168</v>
      </c>
      <c r="F140" s="17" t="s">
        <v>139</v>
      </c>
      <c r="G140" s="12" t="s">
        <v>157</v>
      </c>
      <c r="H140" s="1" t="n">
        <f aca="false">IF(B140=0,0,3)</f>
        <v>3</v>
      </c>
      <c r="I140" s="16" t="n">
        <f aca="false">IF(B140&gt;0,B140,"")</f>
        <v>5350</v>
      </c>
      <c r="J140" s="16" t="n">
        <f aca="false">IF(I140="","",I140*Source!$B$77)</f>
        <v>53500</v>
      </c>
      <c r="L140" s="1" t="n">
        <f aca="false">IF(I140="","",0)</f>
        <v>0</v>
      </c>
    </row>
    <row r="141" customFormat="false" ht="12.8" hidden="false" customHeight="false" outlineLevel="0" collapsed="false">
      <c r="A141" s="12" t="s">
        <v>30</v>
      </c>
      <c r="B141" s="16" t="n">
        <f aca="false">Source!G24</f>
        <v>0</v>
      </c>
      <c r="C141" s="17" t="s">
        <v>186</v>
      </c>
      <c r="D141" s="12" t="str">
        <f aca="false">Projects!$B$2</f>
        <v>archetypes_metabo</v>
      </c>
      <c r="E141" s="12" t="s">
        <v>168</v>
      </c>
      <c r="F141" s="17" t="s">
        <v>139</v>
      </c>
      <c r="G141" s="12" t="s">
        <v>157</v>
      </c>
      <c r="H141" s="1" t="n">
        <f aca="false">IF(B141=0,0,3)</f>
        <v>0</v>
      </c>
      <c r="I141" s="16" t="str">
        <f aca="false">IF(B141&gt;0,B141,"")</f>
        <v/>
      </c>
      <c r="J141" s="16" t="str">
        <f aca="false">IF(I141="","",I141*Source!$B$77)</f>
        <v/>
      </c>
      <c r="L141" s="1" t="str">
        <f aca="false">IF(I141="","",0)</f>
        <v/>
      </c>
    </row>
    <row r="142" customFormat="false" ht="12.8" hidden="false" customHeight="false" outlineLevel="0" collapsed="false">
      <c r="A142" s="12" t="s">
        <v>32</v>
      </c>
      <c r="B142" s="16" t="n">
        <f aca="false">Source!G25</f>
        <v>0</v>
      </c>
      <c r="C142" s="17" t="s">
        <v>187</v>
      </c>
      <c r="D142" s="12" t="str">
        <f aca="false">Projects!$B$2</f>
        <v>archetypes_metabo</v>
      </c>
      <c r="E142" s="12" t="s">
        <v>168</v>
      </c>
      <c r="F142" s="17" t="s">
        <v>139</v>
      </c>
      <c r="G142" s="12" t="s">
        <v>157</v>
      </c>
      <c r="H142" s="1" t="n">
        <f aca="false">IF(B142=0,0,3)</f>
        <v>0</v>
      </c>
      <c r="I142" s="16" t="str">
        <f aca="false">IF(B142&gt;0,B142,"")</f>
        <v/>
      </c>
      <c r="J142" s="16" t="str">
        <f aca="false">IF(I142="","",I142*Source!$B$77)</f>
        <v/>
      </c>
      <c r="L142" s="1" t="str">
        <f aca="false">IF(I142="","",0)</f>
        <v/>
      </c>
    </row>
    <row r="143" customFormat="false" ht="12.8" hidden="false" customHeight="false" outlineLevel="0" collapsed="false">
      <c r="D143" s="1"/>
      <c r="E143" s="1"/>
    </row>
    <row r="144" customFormat="false" ht="15" hidden="false" customHeight="false" outlineLevel="0" collapsed="false">
      <c r="A144" s="14" t="s">
        <v>131</v>
      </c>
      <c r="B144" s="14" t="s">
        <v>160</v>
      </c>
      <c r="D144" s="12"/>
      <c r="E144" s="12"/>
      <c r="F144" s="12"/>
    </row>
    <row r="145" customFormat="false" ht="12.8" hidden="false" customHeight="false" outlineLevel="0" collapsed="false">
      <c r="A145" s="12" t="s">
        <v>133</v>
      </c>
      <c r="B145" s="12" t="s">
        <v>168</v>
      </c>
      <c r="D145" s="12"/>
      <c r="E145" s="12"/>
      <c r="F145" s="12"/>
    </row>
    <row r="146" customFormat="false" ht="12.8" hidden="false" customHeight="false" outlineLevel="0" collapsed="false">
      <c r="A146" s="12" t="s">
        <v>135</v>
      </c>
      <c r="B146" s="12" t="s">
        <v>193</v>
      </c>
      <c r="D146" s="12"/>
      <c r="E146" s="12"/>
      <c r="F146" s="12"/>
    </row>
    <row r="147" customFormat="false" ht="12.8" hidden="false" customHeight="false" outlineLevel="0" collapsed="false">
      <c r="A147" s="12" t="s">
        <v>138</v>
      </c>
      <c r="B147" s="12" t="s">
        <v>139</v>
      </c>
      <c r="D147" s="12"/>
      <c r="E147" s="12"/>
      <c r="F147" s="12"/>
    </row>
    <row r="148" customFormat="false" ht="12.8" hidden="false" customHeight="false" outlineLevel="0" collapsed="false">
      <c r="A148" s="12" t="s">
        <v>140</v>
      </c>
      <c r="B148" s="12" t="n">
        <v>1</v>
      </c>
      <c r="D148" s="12"/>
      <c r="E148" s="12"/>
      <c r="F148" s="12"/>
    </row>
    <row r="149" customFormat="false" ht="12.8" hidden="false" customHeight="false" outlineLevel="0" collapsed="false">
      <c r="A149" s="12" t="s">
        <v>141</v>
      </c>
      <c r="B149" s="12" t="s">
        <v>142</v>
      </c>
      <c r="D149" s="12"/>
      <c r="E149" s="12"/>
      <c r="F149" s="12"/>
    </row>
    <row r="150" customFormat="false" ht="12.8" hidden="false" customHeight="false" outlineLevel="0" collapsed="false">
      <c r="A150" s="12" t="s">
        <v>143</v>
      </c>
      <c r="B150" s="12" t="s">
        <v>156</v>
      </c>
      <c r="D150" s="12"/>
      <c r="E150" s="12"/>
      <c r="F150" s="12"/>
    </row>
    <row r="151" customFormat="false" ht="15" hidden="false" customHeight="false" outlineLevel="0" collapsed="false">
      <c r="A151" s="14" t="s">
        <v>144</v>
      </c>
      <c r="D151" s="12"/>
      <c r="E151" s="12"/>
      <c r="F151" s="12"/>
    </row>
    <row r="152" customFormat="false" ht="15" hidden="false" customHeight="false" outlineLevel="0" collapsed="false">
      <c r="A152" s="14" t="s">
        <v>145</v>
      </c>
      <c r="B152" s="14" t="s">
        <v>146</v>
      </c>
      <c r="C152" s="14" t="s">
        <v>143</v>
      </c>
      <c r="D152" s="14" t="s">
        <v>147</v>
      </c>
      <c r="E152" s="14" t="s">
        <v>133</v>
      </c>
      <c r="F152" s="14" t="s">
        <v>138</v>
      </c>
      <c r="G152" s="14" t="s">
        <v>141</v>
      </c>
      <c r="H152" s="15" t="s">
        <v>148</v>
      </c>
      <c r="I152" s="15" t="s">
        <v>149</v>
      </c>
      <c r="J152" s="15" t="s">
        <v>150</v>
      </c>
      <c r="K152" s="15" t="s">
        <v>151</v>
      </c>
      <c r="L152" s="15" t="s">
        <v>152</v>
      </c>
      <c r="M152" s="15" t="s">
        <v>153</v>
      </c>
    </row>
    <row r="153" customFormat="false" ht="13.8" hidden="false" customHeight="false" outlineLevel="0" collapsed="false">
      <c r="A153" s="17" t="s">
        <v>160</v>
      </c>
      <c r="B153" s="12" t="n">
        <v>1</v>
      </c>
      <c r="C153" s="18" t="s">
        <v>156</v>
      </c>
      <c r="D153" s="12" t="str">
        <f aca="false">Projects!$B$2</f>
        <v>archetypes_metabo</v>
      </c>
      <c r="E153" s="12"/>
      <c r="F153" s="18" t="s">
        <v>139</v>
      </c>
      <c r="G153" s="1" t="s">
        <v>154</v>
      </c>
    </row>
    <row r="154" customFormat="false" ht="13.8" hidden="false" customHeight="false" outlineLevel="0" collapsed="false">
      <c r="A154" s="17" t="s">
        <v>194</v>
      </c>
      <c r="B154" s="18" t="n">
        <f aca="false">$B$148*Source!B31/Source!$B$63</f>
        <v>5</v>
      </c>
      <c r="C154" s="19" t="s">
        <v>195</v>
      </c>
      <c r="D154" s="18" t="s">
        <v>196</v>
      </c>
      <c r="E154" s="12"/>
      <c r="F154" s="18" t="s">
        <v>197</v>
      </c>
      <c r="G154" s="12" t="s">
        <v>157</v>
      </c>
      <c r="H154" s="1" t="n">
        <f aca="false">IF(B154=0,0,3)</f>
        <v>3</v>
      </c>
      <c r="I154" s="16" t="n">
        <f aca="false">IF(B154&gt;0,B154,"")</f>
        <v>5</v>
      </c>
      <c r="J154" s="16" t="n">
        <f aca="false">IF(I154="","",I154*Source!$B$77)</f>
        <v>50</v>
      </c>
      <c r="L154" s="1" t="n">
        <f aca="false">IF(I154="","",0)</f>
        <v>0</v>
      </c>
    </row>
    <row r="155" customFormat="false" ht="23.85" hidden="false" customHeight="false" outlineLevel="0" collapsed="false">
      <c r="A155" s="17" t="s">
        <v>198</v>
      </c>
      <c r="B155" s="18" t="n">
        <f aca="false">$B$148*Source!B32/Source!$B$63</f>
        <v>250</v>
      </c>
      <c r="C155" s="19" t="s">
        <v>195</v>
      </c>
      <c r="D155" s="18" t="s">
        <v>196</v>
      </c>
      <c r="E155" s="12"/>
      <c r="F155" s="18" t="s">
        <v>199</v>
      </c>
      <c r="G155" s="12" t="s">
        <v>157</v>
      </c>
      <c r="H155" s="1" t="n">
        <f aca="false">IF(B155=0,0,3)</f>
        <v>3</v>
      </c>
      <c r="I155" s="16" t="n">
        <f aca="false">IF(B155&gt;0,B155,"")</f>
        <v>250</v>
      </c>
      <c r="J155" s="16" t="n">
        <f aca="false">IF(I155="","",I155*Source!$B$77)</f>
        <v>2500</v>
      </c>
      <c r="L155" s="1" t="n">
        <f aca="false">IF(I155="","",0)</f>
        <v>0</v>
      </c>
    </row>
    <row r="156" customFormat="false" ht="23.85" hidden="false" customHeight="false" outlineLevel="0" collapsed="false">
      <c r="A156" s="17" t="s">
        <v>200</v>
      </c>
      <c r="B156" s="18" t="n">
        <f aca="false">$B$148*Source!B33/Source!$B$63</f>
        <v>5.07</v>
      </c>
      <c r="C156" s="19" t="s">
        <v>195</v>
      </c>
      <c r="D156" s="18" t="s">
        <v>196</v>
      </c>
      <c r="E156" s="12"/>
      <c r="F156" s="18" t="s">
        <v>197</v>
      </c>
      <c r="G156" s="12" t="s">
        <v>157</v>
      </c>
      <c r="H156" s="1" t="n">
        <f aca="false">IF(B156=0,0,3)</f>
        <v>3</v>
      </c>
      <c r="I156" s="16" t="n">
        <f aca="false">IF(B156&gt;0,B156,"")</f>
        <v>5.07</v>
      </c>
      <c r="J156" s="16" t="n">
        <f aca="false">IF(I156="","",I156*Source!$B$77)</f>
        <v>50.7</v>
      </c>
      <c r="L156" s="1" t="n">
        <f aca="false">IF(I156="","",0)</f>
        <v>0</v>
      </c>
    </row>
    <row r="157" customFormat="false" ht="13.8" hidden="false" customHeight="false" outlineLevel="0" collapsed="false">
      <c r="A157" s="18"/>
      <c r="D157" s="12"/>
      <c r="E157" s="12"/>
      <c r="F157" s="12"/>
      <c r="I157" s="16"/>
      <c r="J157" s="16"/>
    </row>
    <row r="158" customFormat="false" ht="15" hidden="false" customHeight="false" outlineLevel="0" collapsed="false">
      <c r="A158" s="14" t="s">
        <v>131</v>
      </c>
      <c r="B158" s="14" t="s">
        <v>161</v>
      </c>
      <c r="D158" s="12"/>
      <c r="E158" s="12"/>
      <c r="F158" s="12"/>
      <c r="I158" s="16"/>
      <c r="J158" s="16"/>
    </row>
    <row r="159" customFormat="false" ht="13.8" hidden="false" customHeight="false" outlineLevel="0" collapsed="false">
      <c r="A159" s="12" t="s">
        <v>133</v>
      </c>
      <c r="B159" s="12" t="s">
        <v>168</v>
      </c>
      <c r="D159" s="15"/>
      <c r="E159" s="12"/>
      <c r="F159" s="12"/>
      <c r="I159" s="16"/>
      <c r="J159" s="16"/>
    </row>
    <row r="160" customFormat="false" ht="12.8" hidden="false" customHeight="false" outlineLevel="0" collapsed="false">
      <c r="A160" s="12" t="s">
        <v>135</v>
      </c>
      <c r="B160" s="12" t="s">
        <v>201</v>
      </c>
      <c r="D160" s="12"/>
      <c r="E160" s="12"/>
      <c r="F160" s="12"/>
      <c r="I160" s="16"/>
      <c r="J160" s="16"/>
    </row>
    <row r="161" customFormat="false" ht="12.8" hidden="false" customHeight="false" outlineLevel="0" collapsed="false">
      <c r="A161" s="12" t="s">
        <v>138</v>
      </c>
      <c r="B161" s="12" t="s">
        <v>139</v>
      </c>
      <c r="D161" s="12"/>
      <c r="E161" s="12"/>
      <c r="F161" s="12"/>
      <c r="I161" s="16"/>
      <c r="J161" s="16"/>
    </row>
    <row r="162" customFormat="false" ht="12.8" hidden="false" customHeight="false" outlineLevel="0" collapsed="false">
      <c r="A162" s="12" t="s">
        <v>140</v>
      </c>
      <c r="B162" s="12" t="n">
        <v>1</v>
      </c>
      <c r="D162" s="12"/>
      <c r="E162" s="12"/>
      <c r="F162" s="12"/>
      <c r="I162" s="16"/>
      <c r="J162" s="16"/>
    </row>
    <row r="163" customFormat="false" ht="12.8" hidden="false" customHeight="false" outlineLevel="0" collapsed="false">
      <c r="A163" s="12" t="s">
        <v>141</v>
      </c>
      <c r="B163" s="12" t="s">
        <v>142</v>
      </c>
      <c r="D163" s="12"/>
      <c r="E163" s="12"/>
      <c r="F163" s="12"/>
      <c r="I163" s="16"/>
      <c r="J163" s="16"/>
    </row>
    <row r="164" customFormat="false" ht="12.8" hidden="false" customHeight="false" outlineLevel="0" collapsed="false">
      <c r="A164" s="12" t="s">
        <v>143</v>
      </c>
      <c r="B164" s="12" t="s">
        <v>156</v>
      </c>
      <c r="D164" s="12"/>
      <c r="E164" s="12"/>
      <c r="F164" s="12"/>
      <c r="I164" s="16"/>
      <c r="J164" s="16"/>
    </row>
    <row r="165" customFormat="false" ht="15" hidden="false" customHeight="false" outlineLevel="0" collapsed="false">
      <c r="A165" s="14" t="s">
        <v>144</v>
      </c>
      <c r="D165" s="12"/>
      <c r="E165" s="12"/>
      <c r="F165" s="12"/>
      <c r="I165" s="16"/>
      <c r="J165" s="16"/>
    </row>
    <row r="166" customFormat="false" ht="15" hidden="false" customHeight="false" outlineLevel="0" collapsed="false">
      <c r="A166" s="14" t="s">
        <v>145</v>
      </c>
      <c r="B166" s="14" t="s">
        <v>146</v>
      </c>
      <c r="C166" s="14" t="s">
        <v>143</v>
      </c>
      <c r="D166" s="14" t="s">
        <v>147</v>
      </c>
      <c r="E166" s="14" t="s">
        <v>133</v>
      </c>
      <c r="F166" s="14" t="s">
        <v>138</v>
      </c>
      <c r="G166" s="14" t="s">
        <v>141</v>
      </c>
      <c r="H166" s="15" t="s">
        <v>148</v>
      </c>
      <c r="I166" s="15" t="s">
        <v>149</v>
      </c>
      <c r="J166" s="15" t="s">
        <v>150</v>
      </c>
      <c r="K166" s="15" t="s">
        <v>151</v>
      </c>
      <c r="L166" s="15" t="s">
        <v>152</v>
      </c>
      <c r="M166" s="15" t="s">
        <v>153</v>
      </c>
    </row>
    <row r="167" customFormat="false" ht="13.8" hidden="false" customHeight="false" outlineLevel="0" collapsed="false">
      <c r="A167" s="17" t="s">
        <v>161</v>
      </c>
      <c r="B167" s="12" t="n">
        <v>1</v>
      </c>
      <c r="C167" s="18" t="s">
        <v>156</v>
      </c>
      <c r="D167" s="12" t="s">
        <v>202</v>
      </c>
      <c r="E167" s="12"/>
      <c r="F167" s="18" t="s">
        <v>139</v>
      </c>
      <c r="G167" s="1" t="s">
        <v>154</v>
      </c>
    </row>
    <row r="168" customFormat="false" ht="23.85" hidden="false" customHeight="false" outlineLevel="0" collapsed="false">
      <c r="A168" s="20" t="s">
        <v>203</v>
      </c>
      <c r="B168" s="21" t="n">
        <f aca="false">Source!B65*Source!B31/Source!B66</f>
        <v>0.161290322580645</v>
      </c>
      <c r="C168" s="18" t="s">
        <v>143</v>
      </c>
      <c r="D168" s="18" t="s">
        <v>196</v>
      </c>
      <c r="E168" s="12"/>
      <c r="F168" s="18" t="s">
        <v>197</v>
      </c>
      <c r="G168" s="12" t="s">
        <v>157</v>
      </c>
      <c r="H168" s="1" t="n">
        <f aca="false">IF(B168=0,0,3)</f>
        <v>3</v>
      </c>
      <c r="I168" s="16" t="n">
        <f aca="false">IF(B168&gt;0,B168,"")</f>
        <v>0.161290322580645</v>
      </c>
      <c r="J168" s="16" t="n">
        <f aca="false">IF(I168="","",I168*Source!$B$77)</f>
        <v>1.61290322580645</v>
      </c>
      <c r="L168" s="1" t="n">
        <f aca="false">IF(I168="","",0)</f>
        <v>0</v>
      </c>
    </row>
    <row r="169" customFormat="false" ht="23.85" hidden="false" customHeight="false" outlineLevel="0" collapsed="false">
      <c r="A169" s="17" t="s">
        <v>204</v>
      </c>
      <c r="B169" s="18" t="n">
        <f aca="false">Source!B64*Source!B31</f>
        <v>12400</v>
      </c>
      <c r="C169" s="18" t="s">
        <v>173</v>
      </c>
      <c r="D169" s="18" t="s">
        <v>196</v>
      </c>
      <c r="E169" s="12"/>
      <c r="F169" s="18" t="s">
        <v>205</v>
      </c>
      <c r="G169" s="12" t="s">
        <v>157</v>
      </c>
      <c r="H169" s="1" t="n">
        <f aca="false">IF(B169=0,0,3)</f>
        <v>3</v>
      </c>
      <c r="I169" s="16" t="n">
        <f aca="false">IF(B169&gt;0,B169,"")</f>
        <v>12400</v>
      </c>
      <c r="J169" s="16" t="n">
        <f aca="false">IF(I169="","",I169*Source!$B$77)</f>
        <v>124000</v>
      </c>
      <c r="L169" s="1" t="n">
        <f aca="false">IF(I169="","",0)</f>
        <v>0</v>
      </c>
    </row>
    <row r="170" customFormat="false" ht="12.8" hidden="false" customHeight="false" outlineLevel="0" collapsed="false">
      <c r="I170" s="16"/>
      <c r="J170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4"/>
  <sheetViews>
    <sheetView showFormulas="false" showGridLines="true" showRowColHeaders="true" showZeros="true" rightToLeft="false" tabSelected="true" showOutlineSymbols="true" defaultGridColor="true" view="normal" topLeftCell="A123" colorId="64" zoomScale="90" zoomScaleNormal="90" zoomScalePageLayoutView="100" workbookViewId="0">
      <selection pane="topLeft" activeCell="B157" activeCellId="0" sqref="B15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8"/>
    <col collapsed="false" customWidth="true" hidden="false" outlineLevel="0" max="2" min="2" style="1" width="34.62"/>
    <col collapsed="false" customWidth="true" hidden="false" outlineLevel="0" max="3" min="3" style="1" width="24.58"/>
    <col collapsed="false" customWidth="true" hidden="false" outlineLevel="0" max="4" min="4" style="1" width="24.42"/>
    <col collapsed="false" customWidth="true" hidden="false" outlineLevel="0" max="5" min="5" style="1" width="17.3"/>
    <col collapsed="false" customWidth="true" hidden="false" outlineLevel="0" max="6" min="6" style="1" width="24.2"/>
    <col collapsed="false" customWidth="true" hidden="false" outlineLevel="0" max="8" min="8" style="1" width="18.39"/>
  </cols>
  <sheetData>
    <row r="1" customFormat="false" ht="15" hidden="false" customHeight="false" outlineLevel="0" collapsed="false">
      <c r="A1" s="14" t="s">
        <v>131</v>
      </c>
      <c r="B1" s="14" t="s">
        <v>166</v>
      </c>
      <c r="C1" s="13" t="s">
        <v>167</v>
      </c>
      <c r="D1" s="12"/>
      <c r="E1" s="12"/>
      <c r="F1" s="12"/>
      <c r="G1" s="12"/>
    </row>
    <row r="2" customFormat="false" ht="12.8" hidden="false" customHeight="false" outlineLevel="0" collapsed="false">
      <c r="A2" s="12" t="s">
        <v>133</v>
      </c>
      <c r="B2" s="12" t="s">
        <v>168</v>
      </c>
      <c r="C2" s="12"/>
      <c r="D2" s="12"/>
      <c r="E2" s="12"/>
      <c r="F2" s="12"/>
      <c r="G2" s="12"/>
    </row>
    <row r="3" customFormat="false" ht="13.8" hidden="false" customHeight="false" outlineLevel="0" collapsed="false">
      <c r="A3" s="12" t="s">
        <v>135</v>
      </c>
      <c r="B3" s="12" t="s">
        <v>169</v>
      </c>
      <c r="C3" s="13" t="s">
        <v>170</v>
      </c>
      <c r="D3" s="12"/>
      <c r="E3" s="12"/>
      <c r="F3" s="12"/>
      <c r="G3" s="12"/>
    </row>
    <row r="4" customFormat="false" ht="12.8" hidden="false" customHeight="false" outlineLevel="0" collapsed="false">
      <c r="A4" s="12" t="s">
        <v>136</v>
      </c>
      <c r="B4" s="12" t="s">
        <v>171</v>
      </c>
      <c r="C4" s="12"/>
      <c r="D4" s="12"/>
      <c r="E4" s="12"/>
      <c r="F4" s="12"/>
      <c r="G4" s="12"/>
    </row>
    <row r="5" customFormat="false" ht="12.8" hidden="false" customHeight="false" outlineLevel="0" collapsed="false">
      <c r="A5" s="12" t="s">
        <v>138</v>
      </c>
      <c r="B5" s="12" t="s">
        <v>139</v>
      </c>
      <c r="C5" s="12"/>
      <c r="D5" s="12"/>
      <c r="E5" s="12"/>
      <c r="F5" s="12"/>
      <c r="G5" s="12"/>
    </row>
    <row r="6" customFormat="false" ht="12.8" hidden="false" customHeight="false" outlineLevel="0" collapsed="false">
      <c r="A6" s="12" t="s">
        <v>140</v>
      </c>
      <c r="B6" s="12" t="n">
        <v>1</v>
      </c>
      <c r="C6" s="12"/>
      <c r="D6" s="12"/>
      <c r="E6" s="12"/>
      <c r="F6" s="12"/>
      <c r="G6" s="12"/>
    </row>
    <row r="7" customFormat="false" ht="12.8" hidden="false" customHeight="false" outlineLevel="0" collapsed="false">
      <c r="A7" s="12" t="s">
        <v>141</v>
      </c>
      <c r="B7" s="12" t="s">
        <v>142</v>
      </c>
      <c r="C7" s="12"/>
      <c r="D7" s="12"/>
      <c r="E7" s="12"/>
      <c r="F7" s="12"/>
      <c r="G7" s="12"/>
    </row>
    <row r="8" customFormat="false" ht="12.8" hidden="false" customHeight="false" outlineLevel="0" collapsed="false">
      <c r="A8" s="12" t="s">
        <v>143</v>
      </c>
      <c r="B8" s="12" t="s">
        <v>156</v>
      </c>
      <c r="C8" s="12"/>
      <c r="D8" s="12"/>
      <c r="E8" s="12"/>
      <c r="F8" s="12"/>
      <c r="G8" s="12"/>
    </row>
    <row r="9" customFormat="false" ht="15" hidden="false" customHeight="false" outlineLevel="0" collapsed="false">
      <c r="A9" s="14" t="s">
        <v>144</v>
      </c>
      <c r="B9" s="12"/>
      <c r="C9" s="12"/>
      <c r="D9" s="12"/>
      <c r="E9" s="12"/>
      <c r="F9" s="12"/>
      <c r="G9" s="12"/>
    </row>
    <row r="10" customFormat="false" ht="15" hidden="false" customHeight="false" outlineLevel="0" collapsed="false">
      <c r="A10" s="14" t="s">
        <v>145</v>
      </c>
      <c r="B10" s="14" t="s">
        <v>146</v>
      </c>
      <c r="C10" s="14" t="s">
        <v>143</v>
      </c>
      <c r="D10" s="14" t="s">
        <v>147</v>
      </c>
      <c r="E10" s="14" t="s">
        <v>133</v>
      </c>
      <c r="F10" s="14" t="s">
        <v>138</v>
      </c>
      <c r="G10" s="14" t="s">
        <v>141</v>
      </c>
      <c r="H10" s="15" t="s">
        <v>148</v>
      </c>
      <c r="I10" s="15" t="s">
        <v>149</v>
      </c>
      <c r="J10" s="15" t="s">
        <v>150</v>
      </c>
      <c r="K10" s="15" t="s">
        <v>151</v>
      </c>
      <c r="L10" s="15" t="s">
        <v>152</v>
      </c>
      <c r="M10" s="15" t="s">
        <v>153</v>
      </c>
    </row>
    <row r="11" customFormat="false" ht="12.8" hidden="false" customHeight="false" outlineLevel="0" collapsed="false">
      <c r="A11" s="12" t="s">
        <v>166</v>
      </c>
      <c r="B11" s="16" t="n">
        <v>1</v>
      </c>
      <c r="C11" s="17" t="s">
        <v>156</v>
      </c>
      <c r="D11" s="12" t="str">
        <f aca="false">Projects!$B$2</f>
        <v>archetypes_metabo</v>
      </c>
      <c r="E11" s="12" t="s">
        <v>168</v>
      </c>
      <c r="F11" s="17" t="s">
        <v>139</v>
      </c>
      <c r="G11" s="12" t="s">
        <v>154</v>
      </c>
    </row>
    <row r="12" customFormat="false" ht="12.8" hidden="false" customHeight="false" outlineLevel="0" collapsed="false">
      <c r="A12" s="12" t="s">
        <v>172</v>
      </c>
      <c r="B12" s="16" t="n">
        <f aca="false">Source!C10</f>
        <v>601.524070698071</v>
      </c>
      <c r="C12" s="17" t="s">
        <v>173</v>
      </c>
      <c r="D12" s="12" t="str">
        <f aca="false">Projects!$B$2</f>
        <v>archetypes_metabo</v>
      </c>
      <c r="E12" s="12" t="s">
        <v>168</v>
      </c>
      <c r="F12" s="17" t="s">
        <v>139</v>
      </c>
      <c r="G12" s="12" t="s">
        <v>157</v>
      </c>
      <c r="H12" s="1" t="n">
        <f aca="false">IF(B12=0,0,3)</f>
        <v>3</v>
      </c>
      <c r="I12" s="16" t="n">
        <f aca="false">IF(B12&gt;0,B12,"")</f>
        <v>601.524070698071</v>
      </c>
      <c r="J12" s="16" t="n">
        <f aca="false">IF(I12="","",I12*Source!$B$77)</f>
        <v>6015.24070698071</v>
      </c>
      <c r="L12" s="1"/>
    </row>
    <row r="13" customFormat="false" ht="12.8" hidden="false" customHeight="false" outlineLevel="0" collapsed="false">
      <c r="A13" s="12" t="s">
        <v>174</v>
      </c>
      <c r="B13" s="16" t="n">
        <f aca="false">Source!C11</f>
        <v>39.8667930419924</v>
      </c>
      <c r="C13" s="17" t="s">
        <v>173</v>
      </c>
      <c r="D13" s="12" t="str">
        <f aca="false">Projects!$B$2</f>
        <v>archetypes_metabo</v>
      </c>
      <c r="E13" s="12" t="s">
        <v>168</v>
      </c>
      <c r="F13" s="17" t="s">
        <v>139</v>
      </c>
      <c r="G13" s="12" t="s">
        <v>157</v>
      </c>
      <c r="H13" s="1" t="n">
        <f aca="false">IF(B13=0,0,3)</f>
        <v>3</v>
      </c>
      <c r="I13" s="16" t="n">
        <f aca="false">IF(B13&gt;0,B13,"")</f>
        <v>39.8667930419924</v>
      </c>
      <c r="J13" s="16" t="n">
        <f aca="false">IF(I13="","",I13*Source!$B$77)</f>
        <v>398.667930419924</v>
      </c>
      <c r="L13" s="1"/>
    </row>
    <row r="14" customFormat="false" ht="12.8" hidden="false" customHeight="false" outlineLevel="0" collapsed="false">
      <c r="A14" s="12" t="s">
        <v>175</v>
      </c>
      <c r="B14" s="16" t="n">
        <f aca="false">Source!C12</f>
        <v>25.464796448149</v>
      </c>
      <c r="C14" s="17" t="s">
        <v>173</v>
      </c>
      <c r="D14" s="12" t="str">
        <f aca="false">Projects!$B$2</f>
        <v>archetypes_metabo</v>
      </c>
      <c r="E14" s="12" t="s">
        <v>168</v>
      </c>
      <c r="F14" s="17" t="s">
        <v>139</v>
      </c>
      <c r="G14" s="12" t="s">
        <v>157</v>
      </c>
      <c r="H14" s="1" t="n">
        <f aca="false">IF(B14=0,0,3)</f>
        <v>3</v>
      </c>
      <c r="I14" s="16" t="n">
        <f aca="false">IF(B14&gt;0,B14,"")</f>
        <v>25.464796448149</v>
      </c>
      <c r="J14" s="16" t="n">
        <f aca="false">IF(I14="","",I14*Source!$B$77)</f>
        <v>254.64796448149</v>
      </c>
      <c r="L14" s="1"/>
    </row>
    <row r="15" customFormat="false" ht="12.8" hidden="false" customHeight="false" outlineLevel="0" collapsed="false">
      <c r="A15" s="17" t="s">
        <v>176</v>
      </c>
      <c r="B15" s="16" t="n">
        <f aca="false">Source!C13</f>
        <v>22.6026498676353</v>
      </c>
      <c r="C15" s="17" t="s">
        <v>173</v>
      </c>
      <c r="D15" s="12" t="str">
        <f aca="false">Projects!$B$2</f>
        <v>archetypes_metabo</v>
      </c>
      <c r="E15" s="12" t="s">
        <v>168</v>
      </c>
      <c r="F15" s="17" t="s">
        <v>139</v>
      </c>
      <c r="G15" s="12" t="s">
        <v>157</v>
      </c>
      <c r="H15" s="1" t="n">
        <f aca="false">IF(B15=0,0,3)</f>
        <v>3</v>
      </c>
      <c r="I15" s="16" t="n">
        <f aca="false">IF(B15&gt;0,B15,"")</f>
        <v>22.6026498676353</v>
      </c>
      <c r="J15" s="16" t="n">
        <f aca="false">IF(I15="","",I15*Source!$B$77)</f>
        <v>226.026498676353</v>
      </c>
      <c r="L15" s="1"/>
    </row>
    <row r="16" customFormat="false" ht="12.8" hidden="false" customHeight="false" outlineLevel="0" collapsed="false">
      <c r="A16" s="17" t="s">
        <v>177</v>
      </c>
      <c r="B16" s="16" t="n">
        <f aca="false">Source!C14</f>
        <v>28.9891082338888</v>
      </c>
      <c r="C16" s="17" t="s">
        <v>173</v>
      </c>
      <c r="D16" s="12" t="str">
        <f aca="false">Projects!$B$2</f>
        <v>archetypes_metabo</v>
      </c>
      <c r="E16" s="12" t="s">
        <v>168</v>
      </c>
      <c r="F16" s="17" t="s">
        <v>139</v>
      </c>
      <c r="G16" s="12" t="s">
        <v>157</v>
      </c>
      <c r="H16" s="1" t="n">
        <f aca="false">IF(B16=0,0,3)</f>
        <v>3</v>
      </c>
      <c r="I16" s="16" t="n">
        <f aca="false">IF(B16&gt;0,B16,"")</f>
        <v>28.9891082338888</v>
      </c>
      <c r="J16" s="16" t="n">
        <f aca="false">IF(I16="","",I16*Source!$B$77)</f>
        <v>289.891082338888</v>
      </c>
      <c r="L16" s="1"/>
    </row>
    <row r="17" customFormat="false" ht="12.8" hidden="false" customHeight="false" outlineLevel="0" collapsed="false">
      <c r="A17" s="17" t="s">
        <v>178</v>
      </c>
      <c r="B17" s="16" t="n">
        <f aca="false">Source!C15</f>
        <v>0.38581376312441</v>
      </c>
      <c r="C17" s="17" t="s">
        <v>173</v>
      </c>
      <c r="D17" s="12" t="str">
        <f aca="false">Projects!$B$2</f>
        <v>archetypes_metabo</v>
      </c>
      <c r="E17" s="12" t="s">
        <v>168</v>
      </c>
      <c r="F17" s="17" t="s">
        <v>139</v>
      </c>
      <c r="G17" s="12" t="s">
        <v>157</v>
      </c>
      <c r="H17" s="1" t="n">
        <f aca="false">IF(B17=0,0,3)</f>
        <v>3</v>
      </c>
      <c r="I17" s="16" t="n">
        <f aca="false">IF(B17&gt;0,B17,"")</f>
        <v>0.38581376312441</v>
      </c>
      <c r="J17" s="16" t="n">
        <f aca="false">IF(I17="","",I17*Source!$B$77)</f>
        <v>3.8581376312441</v>
      </c>
      <c r="L17" s="1"/>
    </row>
    <row r="18" customFormat="false" ht="12.8" hidden="false" customHeight="false" outlineLevel="0" collapsed="false">
      <c r="A18" s="17" t="s">
        <v>179</v>
      </c>
      <c r="B18" s="16" t="n">
        <f aca="false">Source!C16</f>
        <v>4.94460482115191</v>
      </c>
      <c r="C18" s="17" t="s">
        <v>173</v>
      </c>
      <c r="D18" s="12" t="str">
        <f aca="false">Projects!$B$2</f>
        <v>archetypes_metabo</v>
      </c>
      <c r="E18" s="12" t="s">
        <v>168</v>
      </c>
      <c r="F18" s="17" t="s">
        <v>139</v>
      </c>
      <c r="G18" s="12" t="s">
        <v>157</v>
      </c>
      <c r="H18" s="1" t="n">
        <f aca="false">IF(B18=0,0,3)</f>
        <v>3</v>
      </c>
      <c r="I18" s="16" t="n">
        <f aca="false">IF(B18&gt;0,B18,"")</f>
        <v>4.94460482115191</v>
      </c>
      <c r="J18" s="16" t="n">
        <f aca="false">IF(I18="","",I18*Source!$B$77)</f>
        <v>49.4460482115191</v>
      </c>
      <c r="L18" s="1"/>
    </row>
    <row r="19" customFormat="false" ht="12.8" hidden="false" customHeight="false" outlineLevel="0" collapsed="false">
      <c r="A19" s="17" t="s">
        <v>180</v>
      </c>
      <c r="B19" s="16" t="n">
        <f aca="false">Source!C17</f>
        <v>0.991840986634935</v>
      </c>
      <c r="C19" s="17" t="s">
        <v>173</v>
      </c>
      <c r="D19" s="12" t="str">
        <f aca="false">Projects!$B$2</f>
        <v>archetypes_metabo</v>
      </c>
      <c r="E19" s="12" t="s">
        <v>168</v>
      </c>
      <c r="F19" s="17" t="s">
        <v>139</v>
      </c>
      <c r="G19" s="12" t="s">
        <v>157</v>
      </c>
      <c r="H19" s="1" t="n">
        <f aca="false">IF(B19=0,0,3)</f>
        <v>3</v>
      </c>
      <c r="I19" s="16" t="n">
        <f aca="false">IF(B19&gt;0,B19,"")</f>
        <v>0.991840986634935</v>
      </c>
      <c r="J19" s="16" t="n">
        <f aca="false">IF(I19="","",I19*Source!$B$77)</f>
        <v>9.91840986634935</v>
      </c>
      <c r="L19" s="1"/>
    </row>
    <row r="20" customFormat="false" ht="12.8" hidden="false" customHeight="false" outlineLevel="0" collapsed="false">
      <c r="A20" s="17" t="s">
        <v>181</v>
      </c>
      <c r="B20" s="16" t="n">
        <f aca="false">Source!C18</f>
        <v>0</v>
      </c>
      <c r="C20" s="17" t="s">
        <v>173</v>
      </c>
      <c r="D20" s="12" t="str">
        <f aca="false">Projects!$B$2</f>
        <v>archetypes_metabo</v>
      </c>
      <c r="E20" s="12" t="s">
        <v>168</v>
      </c>
      <c r="F20" s="17" t="s">
        <v>139</v>
      </c>
      <c r="G20" s="12" t="s">
        <v>157</v>
      </c>
      <c r="H20" s="1" t="n">
        <f aca="false">IF(B20=0,0,3)</f>
        <v>0</v>
      </c>
      <c r="I20" s="16" t="str">
        <f aca="false">IF(B20&gt;0,B20,"")</f>
        <v/>
      </c>
      <c r="J20" s="16" t="str">
        <f aca="false">IF(I20="","",I20*Source!$B$77)</f>
        <v/>
      </c>
      <c r="L20" s="1"/>
    </row>
    <row r="21" customFormat="false" ht="12.8" hidden="false" customHeight="false" outlineLevel="0" collapsed="false">
      <c r="A21" s="17" t="s">
        <v>182</v>
      </c>
      <c r="B21" s="16" t="n">
        <f aca="false">Source!C19</f>
        <v>6.9555552084245</v>
      </c>
      <c r="C21" s="17" t="s">
        <v>173</v>
      </c>
      <c r="D21" s="12" t="str">
        <f aca="false">Projects!$B$2</f>
        <v>archetypes_metabo</v>
      </c>
      <c r="E21" s="12" t="s">
        <v>168</v>
      </c>
      <c r="F21" s="17" t="s">
        <v>139</v>
      </c>
      <c r="G21" s="12" t="s">
        <v>157</v>
      </c>
      <c r="H21" s="1" t="n">
        <f aca="false">IF(B21=0,0,3)</f>
        <v>3</v>
      </c>
      <c r="I21" s="16" t="n">
        <f aca="false">IF(B21&gt;0,B21,"")</f>
        <v>6.9555552084245</v>
      </c>
      <c r="J21" s="16" t="n">
        <f aca="false">IF(I21="","",I21*Source!$B$77)</f>
        <v>69.555552084245</v>
      </c>
      <c r="L21" s="1"/>
    </row>
    <row r="22" customFormat="false" ht="12.8" hidden="false" customHeight="false" outlineLevel="0" collapsed="false">
      <c r="A22" s="17" t="s">
        <v>183</v>
      </c>
      <c r="B22" s="16" t="n">
        <f aca="false">Source!C20</f>
        <v>20.8708976226418</v>
      </c>
      <c r="C22" s="17" t="s">
        <v>173</v>
      </c>
      <c r="D22" s="12" t="str">
        <f aca="false">Projects!$B$2</f>
        <v>archetypes_metabo</v>
      </c>
      <c r="E22" s="12" t="s">
        <v>168</v>
      </c>
      <c r="F22" s="17" t="s">
        <v>139</v>
      </c>
      <c r="G22" s="12" t="s">
        <v>157</v>
      </c>
      <c r="H22" s="1" t="n">
        <f aca="false">IF(B22=0,0,3)</f>
        <v>3</v>
      </c>
      <c r="I22" s="16" t="n">
        <f aca="false">IF(B22&gt;0,B22,"")</f>
        <v>20.8708976226418</v>
      </c>
      <c r="J22" s="16" t="n">
        <f aca="false">IF(I22="","",I22*Source!$B$77)</f>
        <v>208.708976226418</v>
      </c>
      <c r="L22" s="1"/>
    </row>
    <row r="23" customFormat="false" ht="12.8" hidden="false" customHeight="false" outlineLevel="0" collapsed="false">
      <c r="A23" s="12" t="s">
        <v>184</v>
      </c>
      <c r="B23" s="16" t="n">
        <f aca="false">Source!C21</f>
        <v>0.393630056315404</v>
      </c>
      <c r="C23" s="17" t="s">
        <v>173</v>
      </c>
      <c r="D23" s="12" t="str">
        <f aca="false">Projects!$B$2</f>
        <v>archetypes_metabo</v>
      </c>
      <c r="E23" s="12" t="s">
        <v>168</v>
      </c>
      <c r="F23" s="17" t="s">
        <v>139</v>
      </c>
      <c r="G23" s="12" t="s">
        <v>157</v>
      </c>
      <c r="H23" s="1" t="n">
        <f aca="false">IF(B23=0,0,3)</f>
        <v>3</v>
      </c>
      <c r="I23" s="16" t="n">
        <f aca="false">IF(B23&gt;0,B23,"")</f>
        <v>0.393630056315404</v>
      </c>
      <c r="J23" s="16" t="n">
        <f aca="false">IF(I23="","",I23*Source!$B$77)</f>
        <v>3.93630056315404</v>
      </c>
      <c r="L23" s="1"/>
    </row>
    <row r="24" customFormat="false" ht="12.8" hidden="false" customHeight="false" outlineLevel="0" collapsed="false">
      <c r="A24" s="12" t="s">
        <v>25</v>
      </c>
      <c r="B24" s="16" t="n">
        <f aca="false">Source!C22</f>
        <v>0</v>
      </c>
      <c r="C24" s="17" t="s">
        <v>185</v>
      </c>
      <c r="D24" s="12" t="str">
        <f aca="false">Projects!$B$2</f>
        <v>archetypes_metabo</v>
      </c>
      <c r="E24" s="12" t="s">
        <v>168</v>
      </c>
      <c r="F24" s="17" t="s">
        <v>139</v>
      </c>
      <c r="G24" s="12" t="s">
        <v>157</v>
      </c>
      <c r="H24" s="1" t="n">
        <f aca="false">IF(B24=0,0,3)</f>
        <v>0</v>
      </c>
      <c r="I24" s="16" t="str">
        <f aca="false">IF(B24&gt;0,B24,"")</f>
        <v/>
      </c>
      <c r="J24" s="16" t="str">
        <f aca="false">IF(I24="","",I24*Source!$B$77)</f>
        <v/>
      </c>
      <c r="L24" s="1"/>
    </row>
    <row r="25" customFormat="false" ht="12.8" hidden="false" customHeight="false" outlineLevel="0" collapsed="false">
      <c r="A25" s="12" t="s">
        <v>27</v>
      </c>
      <c r="B25" s="16" t="n">
        <f aca="false">Source!C23</f>
        <v>4700</v>
      </c>
      <c r="C25" s="17" t="s">
        <v>185</v>
      </c>
      <c r="D25" s="12" t="str">
        <f aca="false">Projects!$B$2</f>
        <v>archetypes_metabo</v>
      </c>
      <c r="E25" s="12" t="s">
        <v>168</v>
      </c>
      <c r="F25" s="17" t="s">
        <v>139</v>
      </c>
      <c r="G25" s="12" t="s">
        <v>157</v>
      </c>
      <c r="H25" s="1" t="n">
        <f aca="false">IF(B25=0,0,3)</f>
        <v>3</v>
      </c>
      <c r="I25" s="16" t="n">
        <f aca="false">IF(B25&gt;0,B25,"")</f>
        <v>4700</v>
      </c>
      <c r="J25" s="16" t="n">
        <f aca="false">IF(I25="","",I25*Source!$B$77)</f>
        <v>47000</v>
      </c>
      <c r="L25" s="1"/>
    </row>
    <row r="26" customFormat="false" ht="12.8" hidden="false" customHeight="false" outlineLevel="0" collapsed="false">
      <c r="A26" s="12" t="s">
        <v>30</v>
      </c>
      <c r="B26" s="16" t="n">
        <f aca="false">Source!C26</f>
        <v>88.7096774193548</v>
      </c>
      <c r="C26" s="17" t="s">
        <v>186</v>
      </c>
      <c r="D26" s="12" t="str">
        <f aca="false">Projects!$B$2</f>
        <v>archetypes_metabo</v>
      </c>
      <c r="E26" s="12" t="s">
        <v>168</v>
      </c>
      <c r="F26" s="17" t="s">
        <v>139</v>
      </c>
      <c r="G26" s="12" t="s">
        <v>157</v>
      </c>
      <c r="H26" s="1" t="n">
        <f aca="false">IF(B26=0,0,3)</f>
        <v>3</v>
      </c>
      <c r="I26" s="16" t="n">
        <f aca="false">IF(B26&gt;0,B26,"")</f>
        <v>88.7096774193548</v>
      </c>
      <c r="J26" s="16" t="n">
        <f aca="false">IF(I26="","",I26*Source!$B$77)</f>
        <v>887.096774193548</v>
      </c>
      <c r="L26" s="1"/>
    </row>
    <row r="27" customFormat="false" ht="12.8" hidden="false" customHeight="false" outlineLevel="0" collapsed="false">
      <c r="A27" s="12"/>
      <c r="B27" s="12"/>
      <c r="C27" s="12"/>
      <c r="D27" s="12"/>
      <c r="E27" s="12"/>
      <c r="F27" s="12"/>
      <c r="G27" s="12"/>
    </row>
    <row r="28" customFormat="false" ht="15" hidden="false" customHeight="false" outlineLevel="0" collapsed="false">
      <c r="A28" s="14" t="s">
        <v>131</v>
      </c>
      <c r="B28" s="14" t="s">
        <v>155</v>
      </c>
      <c r="C28" s="13"/>
      <c r="D28" s="12"/>
      <c r="E28" s="12"/>
      <c r="F28" s="12"/>
      <c r="G28" s="12"/>
    </row>
    <row r="29" customFormat="false" ht="12.8" hidden="false" customHeight="false" outlineLevel="0" collapsed="false">
      <c r="A29" s="12" t="s">
        <v>133</v>
      </c>
      <c r="B29" s="12" t="s">
        <v>168</v>
      </c>
      <c r="C29" s="12"/>
      <c r="D29" s="12"/>
      <c r="E29" s="12"/>
      <c r="F29" s="12"/>
      <c r="G29" s="12"/>
    </row>
    <row r="30" customFormat="false" ht="13.8" hidden="false" customHeight="false" outlineLevel="0" collapsed="false">
      <c r="A30" s="12" t="s">
        <v>135</v>
      </c>
      <c r="B30" s="12" t="s">
        <v>188</v>
      </c>
      <c r="C30" s="13"/>
      <c r="D30" s="12"/>
      <c r="E30" s="12"/>
      <c r="F30" s="12"/>
      <c r="G30" s="12"/>
    </row>
    <row r="31" customFormat="false" ht="12.8" hidden="false" customHeight="false" outlineLevel="0" collapsed="false">
      <c r="A31" s="12" t="s">
        <v>136</v>
      </c>
      <c r="B31" s="12" t="s">
        <v>171</v>
      </c>
      <c r="C31" s="12"/>
      <c r="D31" s="12"/>
      <c r="E31" s="12"/>
      <c r="F31" s="12"/>
      <c r="G31" s="12"/>
    </row>
    <row r="32" customFormat="false" ht="12.8" hidden="false" customHeight="false" outlineLevel="0" collapsed="false">
      <c r="A32" s="12" t="s">
        <v>138</v>
      </c>
      <c r="B32" s="12" t="s">
        <v>139</v>
      </c>
      <c r="C32" s="12"/>
      <c r="D32" s="12"/>
      <c r="E32" s="12"/>
      <c r="F32" s="12"/>
      <c r="G32" s="12"/>
    </row>
    <row r="33" customFormat="false" ht="12.8" hidden="false" customHeight="false" outlineLevel="0" collapsed="false">
      <c r="A33" s="12" t="s">
        <v>140</v>
      </c>
      <c r="B33" s="12" t="n">
        <v>1</v>
      </c>
      <c r="C33" s="12"/>
      <c r="D33" s="12"/>
      <c r="E33" s="12"/>
      <c r="F33" s="12"/>
      <c r="G33" s="12"/>
    </row>
    <row r="34" customFormat="false" ht="12.8" hidden="false" customHeight="false" outlineLevel="0" collapsed="false">
      <c r="A34" s="12" t="s">
        <v>141</v>
      </c>
      <c r="B34" s="12" t="s">
        <v>142</v>
      </c>
      <c r="C34" s="12"/>
      <c r="D34" s="12"/>
      <c r="E34" s="12"/>
      <c r="F34" s="12"/>
      <c r="G34" s="12"/>
    </row>
    <row r="35" customFormat="false" ht="12.8" hidden="false" customHeight="false" outlineLevel="0" collapsed="false">
      <c r="A35" s="12" t="s">
        <v>143</v>
      </c>
      <c r="B35" s="12" t="s">
        <v>156</v>
      </c>
      <c r="C35" s="12"/>
      <c r="D35" s="12"/>
      <c r="E35" s="12"/>
      <c r="F35" s="12"/>
      <c r="G35" s="12"/>
    </row>
    <row r="36" customFormat="false" ht="15" hidden="false" customHeight="false" outlineLevel="0" collapsed="false">
      <c r="A36" s="14" t="s">
        <v>144</v>
      </c>
      <c r="B36" s="12"/>
      <c r="C36" s="12"/>
      <c r="D36" s="12"/>
      <c r="E36" s="12"/>
      <c r="F36" s="12"/>
      <c r="G36" s="12"/>
    </row>
    <row r="37" customFormat="false" ht="15" hidden="false" customHeight="false" outlineLevel="0" collapsed="false">
      <c r="A37" s="14" t="s">
        <v>145</v>
      </c>
      <c r="B37" s="14" t="s">
        <v>146</v>
      </c>
      <c r="C37" s="14" t="s">
        <v>143</v>
      </c>
      <c r="D37" s="14" t="s">
        <v>147</v>
      </c>
      <c r="E37" s="14" t="s">
        <v>133</v>
      </c>
      <c r="F37" s="14" t="s">
        <v>138</v>
      </c>
      <c r="G37" s="14" t="s">
        <v>141</v>
      </c>
      <c r="H37" s="15" t="s">
        <v>148</v>
      </c>
      <c r="I37" s="15" t="s">
        <v>149</v>
      </c>
      <c r="J37" s="15" t="s">
        <v>150</v>
      </c>
      <c r="K37" s="15" t="s">
        <v>151</v>
      </c>
      <c r="L37" s="15" t="s">
        <v>152</v>
      </c>
      <c r="M37" s="15" t="s">
        <v>153</v>
      </c>
    </row>
    <row r="38" customFormat="false" ht="12.8" hidden="false" customHeight="false" outlineLevel="0" collapsed="false">
      <c r="A38" s="12" t="s">
        <v>155</v>
      </c>
      <c r="B38" s="16" t="n">
        <v>1</v>
      </c>
      <c r="C38" s="17" t="s">
        <v>156</v>
      </c>
      <c r="D38" s="12" t="str">
        <f aca="false">Projects!$B$2</f>
        <v>archetypes_metabo</v>
      </c>
      <c r="E38" s="12" t="s">
        <v>168</v>
      </c>
      <c r="F38" s="17" t="s">
        <v>139</v>
      </c>
      <c r="G38" s="12" t="s">
        <v>154</v>
      </c>
    </row>
    <row r="39" customFormat="false" ht="12.8" hidden="false" customHeight="false" outlineLevel="0" collapsed="false">
      <c r="A39" s="12" t="s">
        <v>172</v>
      </c>
      <c r="B39" s="16" t="n">
        <f aca="false">Source!D10</f>
        <v>690.292486734803</v>
      </c>
      <c r="C39" s="17" t="s">
        <v>173</v>
      </c>
      <c r="D39" s="12" t="str">
        <f aca="false">Projects!$B$2</f>
        <v>archetypes_metabo</v>
      </c>
      <c r="E39" s="12" t="s">
        <v>168</v>
      </c>
      <c r="F39" s="17" t="s">
        <v>139</v>
      </c>
      <c r="G39" s="12" t="s">
        <v>157</v>
      </c>
      <c r="H39" s="1" t="n">
        <f aca="false">IF(B39=0,0,3)</f>
        <v>3</v>
      </c>
      <c r="I39" s="16" t="n">
        <f aca="false">IF(B39&gt;0,B39,"")</f>
        <v>690.292486734803</v>
      </c>
      <c r="J39" s="16" t="n">
        <f aca="false">IF(I39="","",I39*Source!$B$77)</f>
        <v>6902.92486734803</v>
      </c>
      <c r="L39" s="1"/>
    </row>
    <row r="40" customFormat="false" ht="12.8" hidden="false" customHeight="false" outlineLevel="0" collapsed="false">
      <c r="A40" s="12" t="s">
        <v>174</v>
      </c>
      <c r="B40" s="16" t="n">
        <f aca="false">Source!D11</f>
        <v>9.68965422982872</v>
      </c>
      <c r="C40" s="17" t="s">
        <v>173</v>
      </c>
      <c r="D40" s="12" t="str">
        <f aca="false">Projects!$B$2</f>
        <v>archetypes_metabo</v>
      </c>
      <c r="E40" s="12" t="s">
        <v>168</v>
      </c>
      <c r="F40" s="17" t="s">
        <v>139</v>
      </c>
      <c r="G40" s="12" t="s">
        <v>157</v>
      </c>
      <c r="H40" s="1" t="n">
        <f aca="false">IF(B40=0,0,3)</f>
        <v>3</v>
      </c>
      <c r="I40" s="16" t="n">
        <f aca="false">IF(B40&gt;0,B40,"")</f>
        <v>9.68965422982872</v>
      </c>
      <c r="J40" s="16" t="n">
        <f aca="false">IF(I40="","",I40*Source!$B$77)</f>
        <v>96.8965422982872</v>
      </c>
      <c r="L40" s="1"/>
    </row>
    <row r="41" customFormat="false" ht="12.8" hidden="false" customHeight="false" outlineLevel="0" collapsed="false">
      <c r="A41" s="12" t="s">
        <v>175</v>
      </c>
      <c r="B41" s="16" t="n">
        <f aca="false">Source!D12</f>
        <v>0</v>
      </c>
      <c r="C41" s="17" t="s">
        <v>173</v>
      </c>
      <c r="D41" s="12" t="str">
        <f aca="false">Projects!$B$2</f>
        <v>archetypes_metabo</v>
      </c>
      <c r="E41" s="12" t="s">
        <v>168</v>
      </c>
      <c r="F41" s="17" t="s">
        <v>139</v>
      </c>
      <c r="G41" s="12" t="s">
        <v>157</v>
      </c>
      <c r="H41" s="1" t="n">
        <f aca="false">IF(B41=0,0,3)</f>
        <v>0</v>
      </c>
      <c r="I41" s="16" t="str">
        <f aca="false">IF(B41&gt;0,B41,"")</f>
        <v/>
      </c>
      <c r="J41" s="16" t="str">
        <f aca="false">IF(I41="","",I41*Source!$B$77)</f>
        <v/>
      </c>
      <c r="L41" s="1"/>
    </row>
    <row r="42" customFormat="false" ht="12.8" hidden="false" customHeight="false" outlineLevel="0" collapsed="false">
      <c r="A42" s="17" t="s">
        <v>176</v>
      </c>
      <c r="B42" s="16" t="n">
        <f aca="false">Source!D13</f>
        <v>27.751799775671</v>
      </c>
      <c r="C42" s="17" t="s">
        <v>173</v>
      </c>
      <c r="D42" s="12" t="str">
        <f aca="false">Projects!$B$2</f>
        <v>archetypes_metabo</v>
      </c>
      <c r="E42" s="12" t="s">
        <v>168</v>
      </c>
      <c r="F42" s="17" t="s">
        <v>139</v>
      </c>
      <c r="G42" s="12" t="s">
        <v>157</v>
      </c>
      <c r="H42" s="1" t="n">
        <f aca="false">IF(B42=0,0,3)</f>
        <v>3</v>
      </c>
      <c r="I42" s="16" t="n">
        <f aca="false">IF(B42&gt;0,B42,"")</f>
        <v>27.751799775671</v>
      </c>
      <c r="J42" s="16" t="n">
        <f aca="false">IF(I42="","",I42*Source!$B$77)</f>
        <v>277.51799775671</v>
      </c>
      <c r="L42" s="1"/>
    </row>
    <row r="43" customFormat="false" ht="12.8" hidden="false" customHeight="false" outlineLevel="0" collapsed="false">
      <c r="A43" s="17" t="s">
        <v>177</v>
      </c>
      <c r="B43" s="16" t="n">
        <f aca="false">Source!D14</f>
        <v>24.2817583055755</v>
      </c>
      <c r="C43" s="17" t="s">
        <v>173</v>
      </c>
      <c r="D43" s="12" t="str">
        <f aca="false">Projects!$B$2</f>
        <v>archetypes_metabo</v>
      </c>
      <c r="E43" s="12" t="s">
        <v>168</v>
      </c>
      <c r="F43" s="17" t="s">
        <v>139</v>
      </c>
      <c r="G43" s="12" t="s">
        <v>157</v>
      </c>
      <c r="H43" s="1" t="n">
        <f aca="false">IF(B43=0,0,3)</f>
        <v>3</v>
      </c>
      <c r="I43" s="16" t="n">
        <f aca="false">IF(B43&gt;0,B43,"")</f>
        <v>24.2817583055755</v>
      </c>
      <c r="J43" s="16" t="n">
        <f aca="false">IF(I43="","",I43*Source!$B$77)</f>
        <v>242.817583055755</v>
      </c>
      <c r="L43" s="1"/>
    </row>
    <row r="44" customFormat="false" ht="12.8" hidden="false" customHeight="false" outlineLevel="0" collapsed="false">
      <c r="A44" s="17" t="s">
        <v>178</v>
      </c>
      <c r="B44" s="16" t="n">
        <f aca="false">Source!D15</f>
        <v>0.0917654352710881</v>
      </c>
      <c r="C44" s="17" t="s">
        <v>173</v>
      </c>
      <c r="D44" s="12" t="str">
        <f aca="false">Projects!$B$2</f>
        <v>archetypes_metabo</v>
      </c>
      <c r="E44" s="12" t="s">
        <v>168</v>
      </c>
      <c r="F44" s="17" t="s">
        <v>139</v>
      </c>
      <c r="G44" s="12" t="s">
        <v>157</v>
      </c>
      <c r="H44" s="1" t="n">
        <f aca="false">IF(B44=0,0,3)</f>
        <v>3</v>
      </c>
      <c r="I44" s="16" t="n">
        <f aca="false">IF(B44&gt;0,B44,"")</f>
        <v>0.0917654352710881</v>
      </c>
      <c r="J44" s="16" t="n">
        <f aca="false">IF(I44="","",I44*Source!$B$77)</f>
        <v>0.917654352710881</v>
      </c>
      <c r="L44" s="1"/>
    </row>
    <row r="45" customFormat="false" ht="12.8" hidden="false" customHeight="false" outlineLevel="0" collapsed="false">
      <c r="A45" s="17" t="s">
        <v>179</v>
      </c>
      <c r="B45" s="16" t="n">
        <f aca="false">Source!D16</f>
        <v>0.628578167925227</v>
      </c>
      <c r="C45" s="17" t="s">
        <v>173</v>
      </c>
      <c r="D45" s="12" t="str">
        <f aca="false">Projects!$B$2</f>
        <v>archetypes_metabo</v>
      </c>
      <c r="E45" s="12" t="s">
        <v>168</v>
      </c>
      <c r="F45" s="17" t="s">
        <v>139</v>
      </c>
      <c r="G45" s="12" t="s">
        <v>157</v>
      </c>
      <c r="H45" s="1" t="n">
        <f aca="false">IF(B45=0,0,3)</f>
        <v>3</v>
      </c>
      <c r="I45" s="16" t="n">
        <f aca="false">IF(B45&gt;0,B45,"")</f>
        <v>0.628578167925227</v>
      </c>
      <c r="J45" s="16" t="n">
        <f aca="false">IF(I45="","",I45*Source!$B$77)</f>
        <v>6.28578167925227</v>
      </c>
      <c r="L45" s="1"/>
    </row>
    <row r="46" customFormat="false" ht="12.8" hidden="false" customHeight="false" outlineLevel="0" collapsed="false">
      <c r="A46" s="17" t="s">
        <v>180</v>
      </c>
      <c r="B46" s="16" t="n">
        <f aca="false">Source!D17</f>
        <v>0.603744424963541</v>
      </c>
      <c r="C46" s="17" t="s">
        <v>173</v>
      </c>
      <c r="D46" s="12" t="str">
        <f aca="false">Projects!$B$2</f>
        <v>archetypes_metabo</v>
      </c>
      <c r="E46" s="12" t="s">
        <v>168</v>
      </c>
      <c r="F46" s="17" t="s">
        <v>139</v>
      </c>
      <c r="G46" s="12" t="s">
        <v>157</v>
      </c>
      <c r="H46" s="1" t="n">
        <f aca="false">IF(B46=0,0,3)</f>
        <v>3</v>
      </c>
      <c r="I46" s="16" t="n">
        <f aca="false">IF(B46&gt;0,B46,"")</f>
        <v>0.603744424963541</v>
      </c>
      <c r="J46" s="16" t="n">
        <f aca="false">IF(I46="","",I46*Source!$B$77)</f>
        <v>6.03744424963541</v>
      </c>
      <c r="L46" s="1"/>
    </row>
    <row r="47" customFormat="false" ht="12.8" hidden="false" customHeight="false" outlineLevel="0" collapsed="false">
      <c r="A47" s="17" t="s">
        <v>181</v>
      </c>
      <c r="B47" s="16" t="n">
        <f aca="false">Source!D18</f>
        <v>0</v>
      </c>
      <c r="C47" s="17" t="s">
        <v>173</v>
      </c>
      <c r="D47" s="12" t="str">
        <f aca="false">Projects!$B$2</f>
        <v>archetypes_metabo</v>
      </c>
      <c r="E47" s="12" t="s">
        <v>168</v>
      </c>
      <c r="F47" s="17" t="s">
        <v>139</v>
      </c>
      <c r="G47" s="12" t="s">
        <v>157</v>
      </c>
      <c r="H47" s="1" t="n">
        <f aca="false">IF(B47=0,0,3)</f>
        <v>0</v>
      </c>
      <c r="I47" s="16" t="str">
        <f aca="false">IF(B47&gt;0,B47,"")</f>
        <v/>
      </c>
      <c r="J47" s="16" t="str">
        <f aca="false">IF(I47="","",I47*Source!$B$77)</f>
        <v/>
      </c>
      <c r="L47" s="1"/>
    </row>
    <row r="48" customFormat="false" ht="12.8" hidden="false" customHeight="false" outlineLevel="0" collapsed="false">
      <c r="A48" s="17" t="s">
        <v>182</v>
      </c>
      <c r="B48" s="16" t="n">
        <f aca="false">Source!D19</f>
        <v>4.69592267343918</v>
      </c>
      <c r="C48" s="17" t="s">
        <v>173</v>
      </c>
      <c r="D48" s="12" t="str">
        <f aca="false">Projects!$B$2</f>
        <v>archetypes_metabo</v>
      </c>
      <c r="E48" s="12" t="s">
        <v>168</v>
      </c>
      <c r="F48" s="17" t="s">
        <v>139</v>
      </c>
      <c r="G48" s="12" t="s">
        <v>157</v>
      </c>
      <c r="H48" s="1" t="n">
        <f aca="false">IF(B48=0,0,3)</f>
        <v>3</v>
      </c>
      <c r="I48" s="16" t="n">
        <f aca="false">IF(B48&gt;0,B48,"")</f>
        <v>4.69592267343918</v>
      </c>
      <c r="J48" s="16" t="n">
        <f aca="false">IF(I48="","",I48*Source!$B$77)</f>
        <v>46.9592267343918</v>
      </c>
      <c r="L48" s="1"/>
    </row>
    <row r="49" customFormat="false" ht="12.8" hidden="false" customHeight="false" outlineLevel="0" collapsed="false">
      <c r="A49" s="17" t="s">
        <v>183</v>
      </c>
      <c r="B49" s="16" t="n">
        <f aca="false">Source!D20</f>
        <v>7.24732618243788</v>
      </c>
      <c r="C49" s="17" t="s">
        <v>173</v>
      </c>
      <c r="D49" s="12" t="str">
        <f aca="false">Projects!$B$2</f>
        <v>archetypes_metabo</v>
      </c>
      <c r="E49" s="12" t="s">
        <v>168</v>
      </c>
      <c r="F49" s="17" t="s">
        <v>139</v>
      </c>
      <c r="G49" s="12" t="s">
        <v>157</v>
      </c>
      <c r="H49" s="1" t="n">
        <f aca="false">IF(B49=0,0,3)</f>
        <v>3</v>
      </c>
      <c r="I49" s="16" t="n">
        <f aca="false">IF(B49&gt;0,B49,"")</f>
        <v>7.24732618243788</v>
      </c>
      <c r="J49" s="16" t="n">
        <f aca="false">IF(I49="","",I49*Source!$B$77)</f>
        <v>72.4732618243788</v>
      </c>
      <c r="L49" s="1"/>
    </row>
    <row r="50" customFormat="false" ht="12.8" hidden="false" customHeight="false" outlineLevel="0" collapsed="false">
      <c r="A50" s="12" t="s">
        <v>184</v>
      </c>
      <c r="B50" s="16" t="n">
        <f aca="false">Source!D21</f>
        <v>0.28662866945145</v>
      </c>
      <c r="C50" s="17" t="s">
        <v>173</v>
      </c>
      <c r="D50" s="12" t="str">
        <f aca="false">Projects!$B$2</f>
        <v>archetypes_metabo</v>
      </c>
      <c r="E50" s="12" t="s">
        <v>168</v>
      </c>
      <c r="F50" s="17" t="s">
        <v>139</v>
      </c>
      <c r="G50" s="12" t="s">
        <v>157</v>
      </c>
      <c r="H50" s="1" t="n">
        <f aca="false">IF(B50=0,0,3)</f>
        <v>3</v>
      </c>
      <c r="I50" s="16" t="n">
        <f aca="false">IF(B50&gt;0,B50,"")</f>
        <v>0.28662866945145</v>
      </c>
      <c r="J50" s="16" t="n">
        <f aca="false">IF(I50="","",I50*Source!$B$77)</f>
        <v>2.8662866945145</v>
      </c>
      <c r="L50" s="1"/>
    </row>
    <row r="51" customFormat="false" ht="12.8" hidden="false" customHeight="false" outlineLevel="0" collapsed="false">
      <c r="A51" s="12" t="s">
        <v>25</v>
      </c>
      <c r="B51" s="16" t="n">
        <f aca="false">Source!D22</f>
        <v>0</v>
      </c>
      <c r="C51" s="17" t="s">
        <v>185</v>
      </c>
      <c r="D51" s="12" t="str">
        <f aca="false">Projects!$B$2</f>
        <v>archetypes_metabo</v>
      </c>
      <c r="E51" s="12" t="s">
        <v>168</v>
      </c>
      <c r="F51" s="17" t="s">
        <v>139</v>
      </c>
      <c r="G51" s="12" t="s">
        <v>157</v>
      </c>
      <c r="H51" s="1" t="n">
        <f aca="false">IF(B51=0,0,3)</f>
        <v>0</v>
      </c>
      <c r="I51" s="16" t="str">
        <f aca="false">IF(B51&gt;0,B51,"")</f>
        <v/>
      </c>
      <c r="J51" s="16" t="str">
        <f aca="false">IF(I51="","",I51*Source!$B$77)</f>
        <v/>
      </c>
      <c r="L51" s="1"/>
    </row>
    <row r="52" customFormat="false" ht="12.8" hidden="false" customHeight="false" outlineLevel="0" collapsed="false">
      <c r="A52" s="12" t="s">
        <v>27</v>
      </c>
      <c r="B52" s="16" t="n">
        <f aca="false">Source!D23</f>
        <v>6800</v>
      </c>
      <c r="C52" s="17" t="s">
        <v>185</v>
      </c>
      <c r="D52" s="12" t="str">
        <f aca="false">Projects!$B$2</f>
        <v>archetypes_metabo</v>
      </c>
      <c r="E52" s="12" t="s">
        <v>168</v>
      </c>
      <c r="F52" s="17" t="s">
        <v>139</v>
      </c>
      <c r="G52" s="12" t="s">
        <v>157</v>
      </c>
      <c r="H52" s="1" t="n">
        <f aca="false">IF(B52=0,0,3)</f>
        <v>3</v>
      </c>
      <c r="I52" s="16" t="n">
        <f aca="false">IF(B52&gt;0,B52,"")</f>
        <v>6800</v>
      </c>
      <c r="J52" s="16" t="n">
        <f aca="false">IF(I52="","",I52*Source!$B$77)</f>
        <v>68000</v>
      </c>
      <c r="L52" s="1"/>
    </row>
    <row r="53" customFormat="false" ht="12.8" hidden="false" customHeight="false" outlineLevel="0" collapsed="false">
      <c r="A53" s="12" t="s">
        <v>30</v>
      </c>
      <c r="B53" s="16" t="n">
        <f aca="false">Source!D26</f>
        <v>88.7096774193548</v>
      </c>
      <c r="C53" s="17" t="s">
        <v>186</v>
      </c>
      <c r="D53" s="12" t="str">
        <f aca="false">Projects!$B$2</f>
        <v>archetypes_metabo</v>
      </c>
      <c r="E53" s="12" t="s">
        <v>168</v>
      </c>
      <c r="F53" s="17" t="s">
        <v>139</v>
      </c>
      <c r="G53" s="12" t="s">
        <v>157</v>
      </c>
      <c r="H53" s="1" t="n">
        <f aca="false">IF(B53=0,0,3)</f>
        <v>3</v>
      </c>
      <c r="I53" s="16" t="n">
        <f aca="false">IF(B53&gt;0,B53,"")</f>
        <v>88.7096774193548</v>
      </c>
      <c r="J53" s="16" t="n">
        <f aca="false">IF(I53="","",I53*Source!$B$77)</f>
        <v>887.096774193548</v>
      </c>
      <c r="L53" s="1"/>
    </row>
    <row r="55" customFormat="false" ht="15" hidden="false" customHeight="false" outlineLevel="0" collapsed="false">
      <c r="A55" s="14" t="s">
        <v>131</v>
      </c>
      <c r="B55" s="14" t="s">
        <v>158</v>
      </c>
      <c r="C55" s="13"/>
      <c r="D55" s="12"/>
      <c r="E55" s="12"/>
      <c r="F55" s="12"/>
      <c r="G55" s="12"/>
    </row>
    <row r="56" customFormat="false" ht="12.8" hidden="false" customHeight="false" outlineLevel="0" collapsed="false">
      <c r="A56" s="12" t="s">
        <v>133</v>
      </c>
      <c r="B56" s="12" t="s">
        <v>168</v>
      </c>
      <c r="C56" s="12"/>
      <c r="D56" s="12"/>
      <c r="E56" s="12"/>
      <c r="F56" s="12"/>
      <c r="G56" s="12"/>
    </row>
    <row r="57" customFormat="false" ht="13.8" hidden="false" customHeight="false" outlineLevel="0" collapsed="false">
      <c r="A57" s="12" t="s">
        <v>135</v>
      </c>
      <c r="B57" s="12" t="s">
        <v>189</v>
      </c>
      <c r="C57" s="13"/>
      <c r="D57" s="12"/>
      <c r="E57" s="12"/>
      <c r="F57" s="12"/>
      <c r="G57" s="12"/>
    </row>
    <row r="58" customFormat="false" ht="12.8" hidden="false" customHeight="false" outlineLevel="0" collapsed="false">
      <c r="A58" s="12" t="s">
        <v>136</v>
      </c>
      <c r="B58" s="12" t="s">
        <v>171</v>
      </c>
      <c r="C58" s="12"/>
      <c r="D58" s="12"/>
      <c r="E58" s="12"/>
      <c r="F58" s="12"/>
      <c r="G58" s="12"/>
    </row>
    <row r="59" customFormat="false" ht="12.8" hidden="false" customHeight="false" outlineLevel="0" collapsed="false">
      <c r="A59" s="12" t="s">
        <v>138</v>
      </c>
      <c r="B59" s="12" t="s">
        <v>139</v>
      </c>
      <c r="C59" s="12"/>
      <c r="D59" s="12"/>
      <c r="E59" s="12"/>
      <c r="F59" s="12"/>
      <c r="G59" s="12"/>
    </row>
    <row r="60" customFormat="false" ht="12.8" hidden="false" customHeight="false" outlineLevel="0" collapsed="false">
      <c r="A60" s="12" t="s">
        <v>140</v>
      </c>
      <c r="B60" s="12" t="n">
        <v>1</v>
      </c>
      <c r="C60" s="12"/>
      <c r="D60" s="12"/>
      <c r="E60" s="12"/>
      <c r="F60" s="12"/>
      <c r="G60" s="12"/>
    </row>
    <row r="61" customFormat="false" ht="12.8" hidden="false" customHeight="false" outlineLevel="0" collapsed="false">
      <c r="A61" s="12" t="s">
        <v>141</v>
      </c>
      <c r="B61" s="12" t="s">
        <v>142</v>
      </c>
      <c r="C61" s="12"/>
      <c r="D61" s="12"/>
      <c r="E61" s="12"/>
      <c r="F61" s="12"/>
      <c r="G61" s="12"/>
    </row>
    <row r="62" customFormat="false" ht="12.8" hidden="false" customHeight="false" outlineLevel="0" collapsed="false">
      <c r="A62" s="12" t="s">
        <v>143</v>
      </c>
      <c r="B62" s="12" t="s">
        <v>156</v>
      </c>
      <c r="C62" s="12"/>
      <c r="D62" s="12"/>
      <c r="E62" s="12"/>
      <c r="F62" s="12"/>
      <c r="G62" s="12"/>
    </row>
    <row r="63" customFormat="false" ht="15" hidden="false" customHeight="false" outlineLevel="0" collapsed="false">
      <c r="A63" s="14" t="s">
        <v>144</v>
      </c>
      <c r="B63" s="12"/>
      <c r="C63" s="12"/>
      <c r="D63" s="12"/>
      <c r="E63" s="12"/>
      <c r="F63" s="12"/>
      <c r="G63" s="12"/>
    </row>
    <row r="64" customFormat="false" ht="15" hidden="false" customHeight="false" outlineLevel="0" collapsed="false">
      <c r="A64" s="14" t="s">
        <v>145</v>
      </c>
      <c r="B64" s="14" t="s">
        <v>146</v>
      </c>
      <c r="C64" s="14" t="s">
        <v>143</v>
      </c>
      <c r="D64" s="14" t="s">
        <v>147</v>
      </c>
      <c r="E64" s="14" t="s">
        <v>133</v>
      </c>
      <c r="F64" s="14" t="s">
        <v>138</v>
      </c>
      <c r="G64" s="14" t="s">
        <v>141</v>
      </c>
      <c r="H64" s="15" t="s">
        <v>148</v>
      </c>
      <c r="I64" s="15" t="s">
        <v>149</v>
      </c>
      <c r="J64" s="15" t="s">
        <v>150</v>
      </c>
      <c r="K64" s="15" t="s">
        <v>151</v>
      </c>
      <c r="L64" s="15" t="s">
        <v>152</v>
      </c>
      <c r="M64" s="15" t="s">
        <v>153</v>
      </c>
    </row>
    <row r="65" customFormat="false" ht="12.8" hidden="false" customHeight="false" outlineLevel="0" collapsed="false">
      <c r="A65" s="12" t="s">
        <v>158</v>
      </c>
      <c r="B65" s="16" t="n">
        <v>1</v>
      </c>
      <c r="C65" s="17" t="s">
        <v>156</v>
      </c>
      <c r="D65" s="12" t="str">
        <f aca="false">Projects!$B$2</f>
        <v>archetypes_metabo</v>
      </c>
      <c r="E65" s="12" t="s">
        <v>168</v>
      </c>
      <c r="F65" s="17" t="s">
        <v>139</v>
      </c>
      <c r="G65" s="12" t="s">
        <v>154</v>
      </c>
    </row>
    <row r="66" customFormat="false" ht="12.8" hidden="false" customHeight="false" outlineLevel="0" collapsed="false">
      <c r="A66" s="12" t="s">
        <v>172</v>
      </c>
      <c r="B66" s="16" t="n">
        <f aca="false">Source!E10</f>
        <v>268.551169433124</v>
      </c>
      <c r="C66" s="17" t="s">
        <v>173</v>
      </c>
      <c r="D66" s="12" t="str">
        <f aca="false">Projects!$B$2</f>
        <v>archetypes_metabo</v>
      </c>
      <c r="E66" s="12" t="s">
        <v>168</v>
      </c>
      <c r="F66" s="17" t="s">
        <v>139</v>
      </c>
      <c r="G66" s="12" t="s">
        <v>157</v>
      </c>
      <c r="H66" s="1" t="n">
        <f aca="false">IF(B66=0,0,3)</f>
        <v>3</v>
      </c>
      <c r="I66" s="16" t="n">
        <f aca="false">IF(B66&gt;0,B66,"")</f>
        <v>268.551169433124</v>
      </c>
      <c r="J66" s="16" t="n">
        <f aca="false">IF(I66="","",I66*Source!$B$77)</f>
        <v>2685.51169433124</v>
      </c>
      <c r="L66" s="1"/>
    </row>
    <row r="67" customFormat="false" ht="12.8" hidden="false" customHeight="false" outlineLevel="0" collapsed="false">
      <c r="A67" s="12" t="s">
        <v>174</v>
      </c>
      <c r="B67" s="16" t="n">
        <f aca="false">Source!E11</f>
        <v>2.17197889322543</v>
      </c>
      <c r="C67" s="17" t="s">
        <v>173</v>
      </c>
      <c r="D67" s="12" t="str">
        <f aca="false">Projects!$B$2</f>
        <v>archetypes_metabo</v>
      </c>
      <c r="E67" s="12" t="s">
        <v>168</v>
      </c>
      <c r="F67" s="17" t="s">
        <v>139</v>
      </c>
      <c r="G67" s="12" t="s">
        <v>157</v>
      </c>
      <c r="H67" s="1" t="n">
        <f aca="false">IF(B67=0,0,3)</f>
        <v>3</v>
      </c>
      <c r="I67" s="16" t="n">
        <f aca="false">IF(B67&gt;0,B67,"")</f>
        <v>2.17197889322543</v>
      </c>
      <c r="J67" s="16" t="n">
        <f aca="false">IF(I67="","",I67*Source!$B$77)</f>
        <v>21.7197889322543</v>
      </c>
      <c r="L67" s="1"/>
    </row>
    <row r="68" customFormat="false" ht="12.8" hidden="false" customHeight="false" outlineLevel="0" collapsed="false">
      <c r="A68" s="12" t="s">
        <v>175</v>
      </c>
      <c r="B68" s="16" t="n">
        <f aca="false">Source!E12</f>
        <v>8.92680147492704</v>
      </c>
      <c r="C68" s="17" t="s">
        <v>173</v>
      </c>
      <c r="D68" s="12" t="str">
        <f aca="false">Projects!$B$2</f>
        <v>archetypes_metabo</v>
      </c>
      <c r="E68" s="12" t="s">
        <v>168</v>
      </c>
      <c r="F68" s="17" t="s">
        <v>139</v>
      </c>
      <c r="G68" s="12" t="s">
        <v>157</v>
      </c>
      <c r="H68" s="1" t="n">
        <f aca="false">IF(B68=0,0,3)</f>
        <v>3</v>
      </c>
      <c r="I68" s="16" t="n">
        <f aca="false">IF(B68&gt;0,B68,"")</f>
        <v>8.92680147492704</v>
      </c>
      <c r="J68" s="16" t="n">
        <f aca="false">IF(I68="","",I68*Source!$B$77)</f>
        <v>89.2680147492704</v>
      </c>
      <c r="L68" s="1"/>
    </row>
    <row r="69" customFormat="false" ht="12.8" hidden="false" customHeight="false" outlineLevel="0" collapsed="false">
      <c r="A69" s="17" t="s">
        <v>176</v>
      </c>
      <c r="B69" s="16" t="n">
        <f aca="false">Source!E13</f>
        <v>4.56101433879344</v>
      </c>
      <c r="C69" s="17" t="s">
        <v>173</v>
      </c>
      <c r="D69" s="12" t="str">
        <f aca="false">Projects!$B$2</f>
        <v>archetypes_metabo</v>
      </c>
      <c r="E69" s="12" t="s">
        <v>168</v>
      </c>
      <c r="F69" s="17" t="s">
        <v>139</v>
      </c>
      <c r="G69" s="12" t="s">
        <v>157</v>
      </c>
      <c r="H69" s="1" t="n">
        <f aca="false">IF(B69=0,0,3)</f>
        <v>3</v>
      </c>
      <c r="I69" s="16" t="n">
        <f aca="false">IF(B69&gt;0,B69,"")</f>
        <v>4.56101433879344</v>
      </c>
      <c r="J69" s="16" t="n">
        <f aca="false">IF(I69="","",I69*Source!$B$77)</f>
        <v>45.6101433879344</v>
      </c>
      <c r="L69" s="1"/>
    </row>
    <row r="70" customFormat="false" ht="12.8" hidden="false" customHeight="false" outlineLevel="0" collapsed="false">
      <c r="A70" s="17" t="s">
        <v>177</v>
      </c>
      <c r="B70" s="16" t="n">
        <f aca="false">Source!E14</f>
        <v>10.9834518961189</v>
      </c>
      <c r="C70" s="17" t="s">
        <v>173</v>
      </c>
      <c r="D70" s="12" t="str">
        <f aca="false">Projects!$B$2</f>
        <v>archetypes_metabo</v>
      </c>
      <c r="E70" s="12" t="s">
        <v>168</v>
      </c>
      <c r="F70" s="17" t="s">
        <v>139</v>
      </c>
      <c r="G70" s="12" t="s">
        <v>157</v>
      </c>
      <c r="H70" s="1" t="n">
        <f aca="false">IF(B70=0,0,3)</f>
        <v>3</v>
      </c>
      <c r="I70" s="16" t="n">
        <f aca="false">IF(B70&gt;0,B70,"")</f>
        <v>10.9834518961189</v>
      </c>
      <c r="J70" s="16" t="n">
        <f aca="false">IF(I70="","",I70*Source!$B$77)</f>
        <v>109.834518961189</v>
      </c>
      <c r="L70" s="1"/>
    </row>
    <row r="71" customFormat="false" ht="12.8" hidden="false" customHeight="false" outlineLevel="0" collapsed="false">
      <c r="A71" s="17" t="s">
        <v>178</v>
      </c>
      <c r="B71" s="16" t="n">
        <f aca="false">Source!E15</f>
        <v>0.278509181532353</v>
      </c>
      <c r="C71" s="17" t="s">
        <v>173</v>
      </c>
      <c r="D71" s="12" t="str">
        <f aca="false">Projects!$B$2</f>
        <v>archetypes_metabo</v>
      </c>
      <c r="E71" s="12" t="s">
        <v>168</v>
      </c>
      <c r="F71" s="17" t="s">
        <v>139</v>
      </c>
      <c r="G71" s="12" t="s">
        <v>157</v>
      </c>
      <c r="H71" s="1" t="n">
        <f aca="false">IF(B71=0,0,3)</f>
        <v>3</v>
      </c>
      <c r="I71" s="16" t="n">
        <f aca="false">IF(B71&gt;0,B71,"")</f>
        <v>0.278509181532353</v>
      </c>
      <c r="J71" s="16" t="n">
        <f aca="false">IF(I71="","",I71*Source!$B$77)</f>
        <v>2.78509181532353</v>
      </c>
      <c r="L71" s="1"/>
    </row>
    <row r="72" customFormat="false" ht="12.8" hidden="false" customHeight="false" outlineLevel="0" collapsed="false">
      <c r="A72" s="17" t="s">
        <v>179</v>
      </c>
      <c r="B72" s="16" t="n">
        <f aca="false">Source!E16</f>
        <v>0</v>
      </c>
      <c r="C72" s="17" t="s">
        <v>173</v>
      </c>
      <c r="D72" s="12" t="str">
        <f aca="false">Projects!$B$2</f>
        <v>archetypes_metabo</v>
      </c>
      <c r="E72" s="12" t="s">
        <v>168</v>
      </c>
      <c r="F72" s="17" t="s">
        <v>139</v>
      </c>
      <c r="G72" s="12" t="s">
        <v>157</v>
      </c>
      <c r="H72" s="1" t="n">
        <f aca="false">IF(B72=0,0,3)</f>
        <v>0</v>
      </c>
      <c r="I72" s="16" t="str">
        <f aca="false">IF(B72&gt;0,B72,"")</f>
        <v/>
      </c>
      <c r="J72" s="16" t="str">
        <f aca="false">IF(I72="","",I72*Source!$B$77)</f>
        <v/>
      </c>
      <c r="L72" s="1"/>
    </row>
    <row r="73" customFormat="false" ht="12.8" hidden="false" customHeight="false" outlineLevel="0" collapsed="false">
      <c r="A73" s="17" t="s">
        <v>180</v>
      </c>
      <c r="B73" s="16" t="n">
        <f aca="false">Source!E17</f>
        <v>0.302691787503423</v>
      </c>
      <c r="C73" s="17" t="s">
        <v>173</v>
      </c>
      <c r="D73" s="12" t="str">
        <f aca="false">Projects!$B$2</f>
        <v>archetypes_metabo</v>
      </c>
      <c r="E73" s="12" t="s">
        <v>168</v>
      </c>
      <c r="F73" s="17" t="s">
        <v>139</v>
      </c>
      <c r="G73" s="12" t="s">
        <v>157</v>
      </c>
      <c r="H73" s="1" t="n">
        <f aca="false">IF(B73=0,0,3)</f>
        <v>3</v>
      </c>
      <c r="I73" s="16" t="n">
        <f aca="false">IF(B73&gt;0,B73,"")</f>
        <v>0.302691787503423</v>
      </c>
      <c r="J73" s="16" t="n">
        <f aca="false">IF(I73="","",I73*Source!$B$77)</f>
        <v>3.02691787503423</v>
      </c>
      <c r="L73" s="1"/>
    </row>
    <row r="74" customFormat="false" ht="12.8" hidden="false" customHeight="false" outlineLevel="0" collapsed="false">
      <c r="A74" s="17" t="s">
        <v>181</v>
      </c>
      <c r="B74" s="16" t="n">
        <f aca="false">Source!E18</f>
        <v>0.175001385847085</v>
      </c>
      <c r="C74" s="17" t="s">
        <v>173</v>
      </c>
      <c r="D74" s="12" t="str">
        <f aca="false">Projects!$B$2</f>
        <v>archetypes_metabo</v>
      </c>
      <c r="E74" s="12" t="s">
        <v>168</v>
      </c>
      <c r="F74" s="17" t="s">
        <v>139</v>
      </c>
      <c r="G74" s="12" t="s">
        <v>157</v>
      </c>
      <c r="H74" s="1" t="n">
        <f aca="false">IF(B74=0,0,3)</f>
        <v>3</v>
      </c>
      <c r="I74" s="16" t="n">
        <f aca="false">IF(B74&gt;0,B74,"")</f>
        <v>0.175001385847085</v>
      </c>
      <c r="J74" s="16" t="n">
        <f aca="false">IF(I74="","",I74*Source!$B$77)</f>
        <v>1.75001385847085</v>
      </c>
      <c r="L74" s="1"/>
    </row>
    <row r="75" customFormat="false" ht="12.8" hidden="false" customHeight="false" outlineLevel="0" collapsed="false">
      <c r="A75" s="17" t="s">
        <v>182</v>
      </c>
      <c r="B75" s="16" t="n">
        <f aca="false">Source!E19</f>
        <v>2.79049117473607</v>
      </c>
      <c r="C75" s="17" t="s">
        <v>173</v>
      </c>
      <c r="D75" s="12" t="str">
        <f aca="false">Projects!$B$2</f>
        <v>archetypes_metabo</v>
      </c>
      <c r="E75" s="12" t="s">
        <v>168</v>
      </c>
      <c r="F75" s="17" t="s">
        <v>139</v>
      </c>
      <c r="G75" s="12" t="s">
        <v>157</v>
      </c>
      <c r="H75" s="1" t="n">
        <f aca="false">IF(B75=0,0,3)</f>
        <v>3</v>
      </c>
      <c r="I75" s="16" t="n">
        <f aca="false">IF(B75&gt;0,B75,"")</f>
        <v>2.79049117473607</v>
      </c>
      <c r="J75" s="16" t="n">
        <f aca="false">IF(I75="","",I75*Source!$B$77)</f>
        <v>27.9049117473607</v>
      </c>
      <c r="L75" s="1"/>
    </row>
    <row r="76" customFormat="false" ht="12.8" hidden="false" customHeight="false" outlineLevel="0" collapsed="false">
      <c r="A76" s="17" t="s">
        <v>183</v>
      </c>
      <c r="B76" s="16" t="n">
        <f aca="false">Source!E20</f>
        <v>7.67641694537039</v>
      </c>
      <c r="C76" s="17" t="s">
        <v>173</v>
      </c>
      <c r="D76" s="12" t="str">
        <f aca="false">Projects!$B$2</f>
        <v>archetypes_metabo</v>
      </c>
      <c r="E76" s="12" t="s">
        <v>168</v>
      </c>
      <c r="F76" s="17" t="s">
        <v>139</v>
      </c>
      <c r="G76" s="12" t="s">
        <v>157</v>
      </c>
      <c r="H76" s="1" t="n">
        <f aca="false">IF(B76=0,0,3)</f>
        <v>3</v>
      </c>
      <c r="I76" s="16" t="n">
        <f aca="false">IF(B76&gt;0,B76,"")</f>
        <v>7.67641694537039</v>
      </c>
      <c r="J76" s="16" t="n">
        <f aca="false">IF(I76="","",I76*Source!$B$77)</f>
        <v>76.7641694537039</v>
      </c>
      <c r="L76" s="1"/>
    </row>
    <row r="77" customFormat="false" ht="12.8" hidden="false" customHeight="false" outlineLevel="0" collapsed="false">
      <c r="A77" s="12" t="s">
        <v>184</v>
      </c>
      <c r="B77" s="16" t="n">
        <f aca="false">Source!E21</f>
        <v>0.277616582223064</v>
      </c>
      <c r="C77" s="17" t="s">
        <v>173</v>
      </c>
      <c r="D77" s="12" t="str">
        <f aca="false">Projects!$B$2</f>
        <v>archetypes_metabo</v>
      </c>
      <c r="E77" s="12" t="s">
        <v>168</v>
      </c>
      <c r="F77" s="17" t="s">
        <v>139</v>
      </c>
      <c r="G77" s="12" t="s">
        <v>157</v>
      </c>
      <c r="H77" s="1" t="n">
        <f aca="false">IF(B77=0,0,3)</f>
        <v>3</v>
      </c>
      <c r="I77" s="16" t="n">
        <f aca="false">IF(B77&gt;0,B77,"")</f>
        <v>0.277616582223064</v>
      </c>
      <c r="J77" s="16" t="n">
        <f aca="false">IF(I77="","",I77*Source!$B$77)</f>
        <v>2.77616582223064</v>
      </c>
      <c r="L77" s="1"/>
    </row>
    <row r="78" customFormat="false" ht="12.8" hidden="false" customHeight="false" outlineLevel="0" collapsed="false">
      <c r="A78" s="12" t="s">
        <v>25</v>
      </c>
      <c r="B78" s="16" t="n">
        <f aca="false">Source!E22</f>
        <v>3500</v>
      </c>
      <c r="C78" s="17" t="s">
        <v>185</v>
      </c>
      <c r="D78" s="12" t="str">
        <f aca="false">Projects!$B$2</f>
        <v>archetypes_metabo</v>
      </c>
      <c r="E78" s="12" t="s">
        <v>168</v>
      </c>
      <c r="F78" s="17" t="s">
        <v>139</v>
      </c>
      <c r="G78" s="12" t="s">
        <v>157</v>
      </c>
      <c r="H78" s="1" t="n">
        <f aca="false">IF(B78=0,0,3)</f>
        <v>3</v>
      </c>
      <c r="I78" s="16" t="n">
        <f aca="false">IF(B78&gt;0,B78,"")</f>
        <v>3500</v>
      </c>
      <c r="J78" s="16" t="n">
        <f aca="false">IF(I78="","",I78*Source!$B$77)</f>
        <v>35000</v>
      </c>
      <c r="L78" s="1"/>
    </row>
    <row r="79" customFormat="false" ht="12.8" hidden="false" customHeight="false" outlineLevel="0" collapsed="false">
      <c r="A79" s="12" t="s">
        <v>27</v>
      </c>
      <c r="B79" s="16" t="n">
        <f aca="false">Source!E23</f>
        <v>5350</v>
      </c>
      <c r="C79" s="17" t="s">
        <v>185</v>
      </c>
      <c r="D79" s="12" t="str">
        <f aca="false">Projects!$B$2</f>
        <v>archetypes_metabo</v>
      </c>
      <c r="E79" s="12" t="s">
        <v>168</v>
      </c>
      <c r="F79" s="17" t="s">
        <v>139</v>
      </c>
      <c r="G79" s="12" t="s">
        <v>157</v>
      </c>
      <c r="H79" s="1" t="n">
        <f aca="false">IF(B79=0,0,3)</f>
        <v>3</v>
      </c>
      <c r="I79" s="16" t="n">
        <f aca="false">IF(B79&gt;0,B79,"")</f>
        <v>5350</v>
      </c>
      <c r="J79" s="16" t="n">
        <f aca="false">IF(I79="","",I79*Source!$B$77)</f>
        <v>53500</v>
      </c>
      <c r="L79" s="1"/>
    </row>
    <row r="80" customFormat="false" ht="12.8" hidden="false" customHeight="false" outlineLevel="0" collapsed="false">
      <c r="A80" s="12" t="s">
        <v>30</v>
      </c>
      <c r="B80" s="16" t="n">
        <f aca="false">Source!E26</f>
        <v>17</v>
      </c>
      <c r="C80" s="17" t="s">
        <v>186</v>
      </c>
      <c r="D80" s="12" t="str">
        <f aca="false">Projects!$B$2</f>
        <v>archetypes_metabo</v>
      </c>
      <c r="E80" s="12" t="s">
        <v>168</v>
      </c>
      <c r="F80" s="17" t="s">
        <v>139</v>
      </c>
      <c r="G80" s="12" t="s">
        <v>157</v>
      </c>
      <c r="H80" s="1" t="n">
        <f aca="false">IF(B80=0,0,3)</f>
        <v>3</v>
      </c>
      <c r="I80" s="16" t="n">
        <f aca="false">IF(B80&gt;0,B80,"")</f>
        <v>17</v>
      </c>
      <c r="J80" s="16" t="n">
        <f aca="false">IF(I80="","",I80*Source!$B$77)</f>
        <v>170</v>
      </c>
      <c r="L80" s="1"/>
    </row>
    <row r="82" customFormat="false" ht="15" hidden="false" customHeight="false" outlineLevel="0" collapsed="false">
      <c r="A82" s="14" t="s">
        <v>131</v>
      </c>
      <c r="B82" s="14" t="s">
        <v>190</v>
      </c>
      <c r="C82" s="13"/>
      <c r="D82" s="12"/>
      <c r="E82" s="12"/>
      <c r="F82" s="12"/>
      <c r="G82" s="12"/>
    </row>
    <row r="83" customFormat="false" ht="12.8" hidden="false" customHeight="false" outlineLevel="0" collapsed="false">
      <c r="A83" s="12" t="s">
        <v>133</v>
      </c>
      <c r="B83" s="12" t="s">
        <v>168</v>
      </c>
      <c r="C83" s="12"/>
      <c r="D83" s="12"/>
      <c r="E83" s="12"/>
      <c r="F83" s="12"/>
      <c r="G83" s="12"/>
    </row>
    <row r="84" customFormat="false" ht="13.8" hidden="false" customHeight="false" outlineLevel="0" collapsed="false">
      <c r="A84" s="12" t="s">
        <v>135</v>
      </c>
      <c r="B84" s="12" t="s">
        <v>191</v>
      </c>
      <c r="C84" s="13"/>
      <c r="D84" s="12"/>
      <c r="E84" s="12"/>
      <c r="F84" s="12"/>
      <c r="G84" s="12"/>
    </row>
    <row r="85" customFormat="false" ht="12.8" hidden="false" customHeight="false" outlineLevel="0" collapsed="false">
      <c r="A85" s="12" t="s">
        <v>136</v>
      </c>
      <c r="B85" s="12" t="s">
        <v>171</v>
      </c>
      <c r="C85" s="12"/>
      <c r="D85" s="12"/>
      <c r="E85" s="12"/>
      <c r="F85" s="12"/>
      <c r="G85" s="12"/>
    </row>
    <row r="86" customFormat="false" ht="12.8" hidden="false" customHeight="false" outlineLevel="0" collapsed="false">
      <c r="A86" s="12" t="s">
        <v>138</v>
      </c>
      <c r="B86" s="12" t="s">
        <v>139</v>
      </c>
      <c r="C86" s="12"/>
      <c r="D86" s="12"/>
      <c r="E86" s="12"/>
      <c r="F86" s="12"/>
      <c r="G86" s="12"/>
    </row>
    <row r="87" customFormat="false" ht="12.8" hidden="false" customHeight="false" outlineLevel="0" collapsed="false">
      <c r="A87" s="12" t="s">
        <v>140</v>
      </c>
      <c r="B87" s="12" t="n">
        <v>1</v>
      </c>
      <c r="C87" s="12"/>
      <c r="D87" s="12"/>
      <c r="E87" s="12"/>
      <c r="F87" s="12"/>
      <c r="G87" s="12"/>
    </row>
    <row r="88" customFormat="false" ht="12.8" hidden="false" customHeight="false" outlineLevel="0" collapsed="false">
      <c r="A88" s="12" t="s">
        <v>141</v>
      </c>
      <c r="B88" s="12" t="s">
        <v>142</v>
      </c>
      <c r="C88" s="12"/>
      <c r="D88" s="12"/>
      <c r="E88" s="12"/>
      <c r="F88" s="12"/>
      <c r="G88" s="12"/>
    </row>
    <row r="89" customFormat="false" ht="12.8" hidden="false" customHeight="false" outlineLevel="0" collapsed="false">
      <c r="A89" s="12" t="s">
        <v>143</v>
      </c>
      <c r="B89" s="12" t="s">
        <v>156</v>
      </c>
      <c r="C89" s="12"/>
      <c r="D89" s="12"/>
      <c r="E89" s="12"/>
      <c r="F89" s="12"/>
      <c r="G89" s="12"/>
    </row>
    <row r="90" customFormat="false" ht="15" hidden="false" customHeight="false" outlineLevel="0" collapsed="false">
      <c r="A90" s="14" t="s">
        <v>144</v>
      </c>
      <c r="B90" s="12"/>
      <c r="C90" s="12"/>
      <c r="D90" s="12"/>
      <c r="E90" s="12"/>
      <c r="F90" s="12"/>
      <c r="G90" s="12"/>
    </row>
    <row r="91" customFormat="false" ht="15" hidden="false" customHeight="false" outlineLevel="0" collapsed="false">
      <c r="A91" s="14" t="s">
        <v>145</v>
      </c>
      <c r="B91" s="14" t="s">
        <v>146</v>
      </c>
      <c r="C91" s="14" t="s">
        <v>143</v>
      </c>
      <c r="D91" s="14" t="s">
        <v>147</v>
      </c>
      <c r="E91" s="14" t="s">
        <v>133</v>
      </c>
      <c r="F91" s="14" t="s">
        <v>138</v>
      </c>
      <c r="G91" s="14" t="s">
        <v>141</v>
      </c>
      <c r="H91" s="15" t="s">
        <v>148</v>
      </c>
      <c r="I91" s="15" t="s">
        <v>149</v>
      </c>
      <c r="J91" s="15" t="s">
        <v>150</v>
      </c>
      <c r="K91" s="15" t="s">
        <v>151</v>
      </c>
      <c r="L91" s="15" t="s">
        <v>152</v>
      </c>
      <c r="M91" s="15" t="s">
        <v>153</v>
      </c>
    </row>
    <row r="92" customFormat="false" ht="12.8" hidden="false" customHeight="false" outlineLevel="0" collapsed="false">
      <c r="A92" s="12" t="s">
        <v>190</v>
      </c>
      <c r="B92" s="16" t="n">
        <v>1</v>
      </c>
      <c r="C92" s="17" t="s">
        <v>156</v>
      </c>
      <c r="D92" s="12" t="str">
        <f aca="false">Projects!$B$2</f>
        <v>archetypes_metabo</v>
      </c>
      <c r="E92" s="12" t="s">
        <v>168</v>
      </c>
      <c r="F92" s="17" t="s">
        <v>139</v>
      </c>
      <c r="G92" s="1" t="s">
        <v>154</v>
      </c>
    </row>
    <row r="93" customFormat="false" ht="12.8" hidden="false" customHeight="false" outlineLevel="0" collapsed="false">
      <c r="A93" s="12" t="s">
        <v>172</v>
      </c>
      <c r="B93" s="16" t="n">
        <f aca="false">Source!F10</f>
        <v>324.607798917837</v>
      </c>
      <c r="C93" s="17" t="s">
        <v>173</v>
      </c>
      <c r="D93" s="12" t="str">
        <f aca="false">Projects!$B$2</f>
        <v>archetypes_metabo</v>
      </c>
      <c r="E93" s="12" t="s">
        <v>168</v>
      </c>
      <c r="F93" s="17" t="s">
        <v>139</v>
      </c>
      <c r="G93" s="12" t="s">
        <v>157</v>
      </c>
      <c r="H93" s="1" t="n">
        <f aca="false">IF(B93=0,0,3)</f>
        <v>3</v>
      </c>
      <c r="I93" s="16" t="n">
        <f aca="false">IF(B93&gt;0,B93,"")</f>
        <v>324.607798917837</v>
      </c>
      <c r="J93" s="16" t="n">
        <f aca="false">IF(I93="","",I93*Source!$B$77)</f>
        <v>3246.07798917837</v>
      </c>
      <c r="L93" s="1"/>
    </row>
    <row r="94" customFormat="false" ht="12.8" hidden="false" customHeight="false" outlineLevel="0" collapsed="false">
      <c r="A94" s="12" t="s">
        <v>174</v>
      </c>
      <c r="B94" s="16" t="n">
        <f aca="false">Source!F11</f>
        <v>12.0391160472074</v>
      </c>
      <c r="C94" s="17" t="s">
        <v>173</v>
      </c>
      <c r="D94" s="12" t="str">
        <f aca="false">Projects!$B$2</f>
        <v>archetypes_metabo</v>
      </c>
      <c r="E94" s="12" t="s">
        <v>168</v>
      </c>
      <c r="F94" s="17" t="s">
        <v>139</v>
      </c>
      <c r="G94" s="12" t="s">
        <v>157</v>
      </c>
      <c r="H94" s="1" t="n">
        <f aca="false">IF(B94=0,0,3)</f>
        <v>3</v>
      </c>
      <c r="I94" s="16" t="n">
        <f aca="false">IF(B94&gt;0,B94,"")</f>
        <v>12.0391160472074</v>
      </c>
      <c r="J94" s="16" t="n">
        <f aca="false">IF(I94="","",I94*Source!$B$77)</f>
        <v>120.391160472074</v>
      </c>
      <c r="L94" s="1"/>
    </row>
    <row r="95" customFormat="false" ht="12.8" hidden="false" customHeight="false" outlineLevel="0" collapsed="false">
      <c r="A95" s="12" t="s">
        <v>175</v>
      </c>
      <c r="B95" s="16" t="n">
        <f aca="false">Source!F12</f>
        <v>5.8864608659195</v>
      </c>
      <c r="C95" s="17" t="s">
        <v>173</v>
      </c>
      <c r="D95" s="12" t="str">
        <f aca="false">Projects!$B$2</f>
        <v>archetypes_metabo</v>
      </c>
      <c r="E95" s="12" t="s">
        <v>168</v>
      </c>
      <c r="F95" s="17" t="s">
        <v>139</v>
      </c>
      <c r="G95" s="12" t="s">
        <v>157</v>
      </c>
      <c r="H95" s="1" t="n">
        <f aca="false">IF(B95=0,0,3)</f>
        <v>3</v>
      </c>
      <c r="I95" s="16" t="n">
        <f aca="false">IF(B95&gt;0,B95,"")</f>
        <v>5.8864608659195</v>
      </c>
      <c r="J95" s="16" t="n">
        <f aca="false">IF(I95="","",I95*Source!$B$77)</f>
        <v>58.864608659195</v>
      </c>
      <c r="L95" s="1"/>
    </row>
    <row r="96" customFormat="false" ht="12.8" hidden="false" customHeight="false" outlineLevel="0" collapsed="false">
      <c r="A96" s="17" t="s">
        <v>176</v>
      </c>
      <c r="B96" s="16" t="n">
        <f aca="false">Source!F13</f>
        <v>7.27098067460725</v>
      </c>
      <c r="C96" s="17" t="s">
        <v>173</v>
      </c>
      <c r="D96" s="12" t="str">
        <f aca="false">Projects!$B$2</f>
        <v>archetypes_metabo</v>
      </c>
      <c r="E96" s="12" t="s">
        <v>168</v>
      </c>
      <c r="F96" s="17" t="s">
        <v>139</v>
      </c>
      <c r="G96" s="12" t="s">
        <v>157</v>
      </c>
      <c r="H96" s="1" t="n">
        <f aca="false">IF(B96=0,0,3)</f>
        <v>3</v>
      </c>
      <c r="I96" s="16" t="n">
        <f aca="false">IF(B96&gt;0,B96,"")</f>
        <v>7.27098067460725</v>
      </c>
      <c r="J96" s="16" t="n">
        <f aca="false">IF(I96="","",I96*Source!$B$77)</f>
        <v>72.7098067460725</v>
      </c>
      <c r="L96" s="1"/>
    </row>
    <row r="97" customFormat="false" ht="12.8" hidden="false" customHeight="false" outlineLevel="0" collapsed="false">
      <c r="A97" s="17" t="s">
        <v>177</v>
      </c>
      <c r="B97" s="16" t="n">
        <f aca="false">Source!F14</f>
        <v>11.2542821934004</v>
      </c>
      <c r="C97" s="17" t="s">
        <v>173</v>
      </c>
      <c r="D97" s="12" t="str">
        <f aca="false">Projects!$B$2</f>
        <v>archetypes_metabo</v>
      </c>
      <c r="E97" s="12" t="s">
        <v>168</v>
      </c>
      <c r="F97" s="17" t="s">
        <v>139</v>
      </c>
      <c r="G97" s="12" t="s">
        <v>157</v>
      </c>
      <c r="H97" s="1" t="n">
        <f aca="false">IF(B97=0,0,3)</f>
        <v>3</v>
      </c>
      <c r="I97" s="16" t="n">
        <f aca="false">IF(B97&gt;0,B97,"")</f>
        <v>11.2542821934004</v>
      </c>
      <c r="J97" s="16" t="n">
        <f aca="false">IF(I97="","",I97*Source!$B$77)</f>
        <v>112.542821934004</v>
      </c>
      <c r="L97" s="1"/>
    </row>
    <row r="98" customFormat="false" ht="12.8" hidden="false" customHeight="false" outlineLevel="0" collapsed="false">
      <c r="A98" s="17" t="s">
        <v>178</v>
      </c>
      <c r="B98" s="16" t="n">
        <f aca="false">Source!F15</f>
        <v>0.283796662519142</v>
      </c>
      <c r="C98" s="17" t="s">
        <v>173</v>
      </c>
      <c r="D98" s="12" t="str">
        <f aca="false">Projects!$B$2</f>
        <v>archetypes_metabo</v>
      </c>
      <c r="E98" s="12" t="s">
        <v>168</v>
      </c>
      <c r="F98" s="17" t="s">
        <v>139</v>
      </c>
      <c r="G98" s="12" t="s">
        <v>157</v>
      </c>
      <c r="H98" s="1" t="n">
        <f aca="false">IF(B98=0,0,3)</f>
        <v>3</v>
      </c>
      <c r="I98" s="16" t="n">
        <f aca="false">IF(B98&gt;0,B98,"")</f>
        <v>0.283796662519142</v>
      </c>
      <c r="J98" s="16" t="n">
        <f aca="false">IF(I98="","",I98*Source!$B$77)</f>
        <v>2.83796662519142</v>
      </c>
      <c r="L98" s="1"/>
    </row>
    <row r="99" customFormat="false" ht="12.8" hidden="false" customHeight="false" outlineLevel="0" collapsed="false">
      <c r="A99" s="17" t="s">
        <v>179</v>
      </c>
      <c r="B99" s="16" t="n">
        <f aca="false">Source!F16</f>
        <v>0</v>
      </c>
      <c r="C99" s="17" t="s">
        <v>173</v>
      </c>
      <c r="D99" s="12" t="str">
        <f aca="false">Projects!$B$2</f>
        <v>archetypes_metabo</v>
      </c>
      <c r="E99" s="12" t="s">
        <v>168</v>
      </c>
      <c r="F99" s="17" t="s">
        <v>139</v>
      </c>
      <c r="G99" s="12" t="s">
        <v>157</v>
      </c>
      <c r="H99" s="1" t="n">
        <f aca="false">IF(B99=0,0,3)</f>
        <v>0</v>
      </c>
      <c r="I99" s="16" t="str">
        <f aca="false">IF(B99&gt;0,B99,"")</f>
        <v/>
      </c>
      <c r="J99" s="16" t="str">
        <f aca="false">IF(I99="","",I99*Source!$B$77)</f>
        <v/>
      </c>
      <c r="L99" s="1"/>
    </row>
    <row r="100" customFormat="false" ht="12.8" hidden="false" customHeight="false" outlineLevel="0" collapsed="false">
      <c r="A100" s="17" t="s">
        <v>180</v>
      </c>
      <c r="B100" s="16" t="n">
        <f aca="false">Source!F17</f>
        <v>0.212993879564909</v>
      </c>
      <c r="C100" s="17" t="s">
        <v>173</v>
      </c>
      <c r="D100" s="12" t="str">
        <f aca="false">Projects!$B$2</f>
        <v>archetypes_metabo</v>
      </c>
      <c r="E100" s="12" t="s">
        <v>168</v>
      </c>
      <c r="F100" s="17" t="s">
        <v>139</v>
      </c>
      <c r="G100" s="12" t="s">
        <v>157</v>
      </c>
      <c r="H100" s="1" t="n">
        <f aca="false">IF(B100=0,0,3)</f>
        <v>3</v>
      </c>
      <c r="I100" s="16" t="n">
        <f aca="false">IF(B100&gt;0,B100,"")</f>
        <v>0.212993879564909</v>
      </c>
      <c r="J100" s="16" t="n">
        <f aca="false">IF(I100="","",I100*Source!$B$77)</f>
        <v>2.12993879564909</v>
      </c>
      <c r="L100" s="1"/>
    </row>
    <row r="101" customFormat="false" ht="12.8" hidden="false" customHeight="false" outlineLevel="0" collapsed="false">
      <c r="A101" s="17" t="s">
        <v>181</v>
      </c>
      <c r="B101" s="16" t="n">
        <f aca="false">Source!F18</f>
        <v>0.674018335429887</v>
      </c>
      <c r="C101" s="17" t="s">
        <v>173</v>
      </c>
      <c r="D101" s="12" t="str">
        <f aca="false">Projects!$B$2</f>
        <v>archetypes_metabo</v>
      </c>
      <c r="E101" s="12" t="s">
        <v>168</v>
      </c>
      <c r="F101" s="17" t="s">
        <v>139</v>
      </c>
      <c r="G101" s="12" t="s">
        <v>157</v>
      </c>
      <c r="H101" s="1" t="n">
        <f aca="false">IF(B101=0,0,3)</f>
        <v>3</v>
      </c>
      <c r="I101" s="16" t="n">
        <f aca="false">IF(B101&gt;0,B101,"")</f>
        <v>0.674018335429887</v>
      </c>
      <c r="J101" s="16" t="n">
        <f aca="false">IF(I101="","",I101*Source!$B$77)</f>
        <v>6.74018335429887</v>
      </c>
      <c r="L101" s="1"/>
    </row>
    <row r="102" customFormat="false" ht="12.8" hidden="false" customHeight="false" outlineLevel="0" collapsed="false">
      <c r="A102" s="17" t="s">
        <v>182</v>
      </c>
      <c r="B102" s="16" t="n">
        <f aca="false">Source!F19</f>
        <v>2.7556978712371</v>
      </c>
      <c r="C102" s="17" t="s">
        <v>173</v>
      </c>
      <c r="D102" s="12" t="str">
        <f aca="false">Projects!$B$2</f>
        <v>archetypes_metabo</v>
      </c>
      <c r="E102" s="12" t="s">
        <v>168</v>
      </c>
      <c r="F102" s="17" t="s">
        <v>139</v>
      </c>
      <c r="G102" s="12" t="s">
        <v>157</v>
      </c>
      <c r="H102" s="1" t="n">
        <f aca="false">IF(B102=0,0,3)</f>
        <v>3</v>
      </c>
      <c r="I102" s="16" t="n">
        <f aca="false">IF(B102&gt;0,B102,"")</f>
        <v>2.7556978712371</v>
      </c>
      <c r="J102" s="16" t="n">
        <f aca="false">IF(I102="","",I102*Source!$B$77)</f>
        <v>27.556978712371</v>
      </c>
      <c r="L102" s="1"/>
    </row>
    <row r="103" customFormat="false" ht="12.8" hidden="false" customHeight="false" outlineLevel="0" collapsed="false">
      <c r="A103" s="17" t="s">
        <v>183</v>
      </c>
      <c r="B103" s="16" t="n">
        <f aca="false">Source!F20</f>
        <v>5.97349243834701</v>
      </c>
      <c r="C103" s="17" t="s">
        <v>173</v>
      </c>
      <c r="D103" s="12" t="str">
        <f aca="false">Projects!$B$2</f>
        <v>archetypes_metabo</v>
      </c>
      <c r="E103" s="12" t="s">
        <v>168</v>
      </c>
      <c r="F103" s="17" t="s">
        <v>139</v>
      </c>
      <c r="G103" s="12" t="s">
        <v>157</v>
      </c>
      <c r="H103" s="1" t="n">
        <f aca="false">IF(B103=0,0,3)</f>
        <v>3</v>
      </c>
      <c r="I103" s="16" t="n">
        <f aca="false">IF(B103&gt;0,B103,"")</f>
        <v>5.97349243834701</v>
      </c>
      <c r="J103" s="16" t="n">
        <f aca="false">IF(I103="","",I103*Source!$B$77)</f>
        <v>59.7349243834701</v>
      </c>
      <c r="L103" s="1"/>
    </row>
    <row r="104" customFormat="false" ht="12.8" hidden="false" customHeight="false" outlineLevel="0" collapsed="false">
      <c r="A104" s="12" t="s">
        <v>184</v>
      </c>
      <c r="B104" s="16" t="n">
        <f aca="false">Source!F21</f>
        <v>0.27915854146908</v>
      </c>
      <c r="C104" s="17" t="s">
        <v>173</v>
      </c>
      <c r="D104" s="12" t="str">
        <f aca="false">Projects!$B$2</f>
        <v>archetypes_metabo</v>
      </c>
      <c r="E104" s="12" t="s">
        <v>168</v>
      </c>
      <c r="F104" s="17" t="s">
        <v>139</v>
      </c>
      <c r="G104" s="12" t="s">
        <v>157</v>
      </c>
      <c r="H104" s="1" t="n">
        <f aca="false">IF(B104=0,0,3)</f>
        <v>3</v>
      </c>
      <c r="I104" s="16" t="n">
        <f aca="false">IF(B104&gt;0,B104,"")</f>
        <v>0.27915854146908</v>
      </c>
      <c r="J104" s="16" t="n">
        <f aca="false">IF(I104="","",I104*Source!$B$77)</f>
        <v>2.7915854146908</v>
      </c>
      <c r="L104" s="1"/>
    </row>
    <row r="105" customFormat="false" ht="12.8" hidden="false" customHeight="false" outlineLevel="0" collapsed="false">
      <c r="A105" s="12" t="s">
        <v>25</v>
      </c>
      <c r="B105" s="16" t="n">
        <f aca="false">Source!F22</f>
        <v>2800</v>
      </c>
      <c r="C105" s="17" t="s">
        <v>185</v>
      </c>
      <c r="D105" s="12" t="str">
        <f aca="false">Projects!$B$2</f>
        <v>archetypes_metabo</v>
      </c>
      <c r="E105" s="12" t="s">
        <v>168</v>
      </c>
      <c r="F105" s="17" t="s">
        <v>139</v>
      </c>
      <c r="G105" s="12" t="s">
        <v>157</v>
      </c>
      <c r="H105" s="1" t="n">
        <f aca="false">IF(B105=0,0,3)</f>
        <v>3</v>
      </c>
      <c r="I105" s="16" t="n">
        <f aca="false">IF(B105&gt;0,B105,"")</f>
        <v>2800</v>
      </c>
      <c r="J105" s="16" t="n">
        <f aca="false">IF(I105="","",I105*Source!$B$77)</f>
        <v>28000</v>
      </c>
      <c r="L105" s="1"/>
    </row>
    <row r="106" customFormat="false" ht="12.8" hidden="false" customHeight="false" outlineLevel="0" collapsed="false">
      <c r="A106" s="12" t="s">
        <v>27</v>
      </c>
      <c r="B106" s="16" t="n">
        <f aca="false">Source!F23</f>
        <v>3300</v>
      </c>
      <c r="C106" s="17" t="s">
        <v>185</v>
      </c>
      <c r="D106" s="12" t="str">
        <f aca="false">Projects!$B$2</f>
        <v>archetypes_metabo</v>
      </c>
      <c r="E106" s="12" t="s">
        <v>168</v>
      </c>
      <c r="F106" s="17" t="s">
        <v>139</v>
      </c>
      <c r="G106" s="12" t="s">
        <v>157</v>
      </c>
      <c r="H106" s="1" t="n">
        <f aca="false">IF(B106=0,0,3)</f>
        <v>3</v>
      </c>
      <c r="I106" s="16" t="n">
        <f aca="false">IF(B106&gt;0,B106,"")</f>
        <v>3300</v>
      </c>
      <c r="J106" s="16" t="n">
        <f aca="false">IF(I106="","",I106*Source!$B$77)</f>
        <v>33000</v>
      </c>
      <c r="L106" s="1"/>
    </row>
    <row r="107" customFormat="false" ht="12.8" hidden="false" customHeight="false" outlineLevel="0" collapsed="false">
      <c r="A107" s="4" t="s">
        <v>28</v>
      </c>
      <c r="B107" s="16" t="n">
        <f aca="false">Source!F24</f>
        <v>950</v>
      </c>
      <c r="C107" s="17" t="s">
        <v>185</v>
      </c>
      <c r="D107" s="12" t="str">
        <f aca="false">Projects!$B$2</f>
        <v>archetypes_metabo</v>
      </c>
      <c r="E107" s="12" t="s">
        <v>168</v>
      </c>
      <c r="F107" s="17" t="s">
        <v>139</v>
      </c>
      <c r="G107" s="12" t="s">
        <v>157</v>
      </c>
      <c r="H107" s="1" t="n">
        <f aca="false">IF(B107=0,0,3)</f>
        <v>3</v>
      </c>
      <c r="I107" s="16" t="n">
        <f aca="false">IF(B107&gt;0,B107,"")</f>
        <v>950</v>
      </c>
      <c r="J107" s="16" t="n">
        <f aca="false">IF(I107="","",I107*Source!$B$77)</f>
        <v>9500</v>
      </c>
      <c r="L107" s="1"/>
    </row>
    <row r="108" customFormat="false" ht="12.8" hidden="false" customHeight="false" outlineLevel="0" collapsed="false">
      <c r="A108" s="4" t="s">
        <v>29</v>
      </c>
      <c r="B108" s="16" t="n">
        <f aca="false">Source!F25</f>
        <v>1200</v>
      </c>
      <c r="C108" s="17" t="s">
        <v>185</v>
      </c>
      <c r="D108" s="12" t="str">
        <f aca="false">Projects!$B$2</f>
        <v>archetypes_metabo</v>
      </c>
      <c r="E108" s="12" t="s">
        <v>168</v>
      </c>
      <c r="F108" s="17" t="s">
        <v>139</v>
      </c>
      <c r="G108" s="12" t="s">
        <v>157</v>
      </c>
      <c r="H108" s="1" t="n">
        <f aca="false">IF(B108=0,0,3)</f>
        <v>3</v>
      </c>
      <c r="I108" s="16" t="n">
        <f aca="false">IF(B108&gt;0,B108,"")</f>
        <v>1200</v>
      </c>
      <c r="J108" s="16" t="n">
        <f aca="false">IF(I108="","",I108*Source!$B$77)</f>
        <v>12000</v>
      </c>
      <c r="L108" s="1"/>
    </row>
    <row r="109" customFormat="false" ht="12.8" hidden="false" customHeight="false" outlineLevel="0" collapsed="false">
      <c r="A109" s="12" t="s">
        <v>30</v>
      </c>
      <c r="B109" s="16" t="n">
        <f aca="false">Source!F26</f>
        <v>0.016627358490566</v>
      </c>
      <c r="C109" s="17" t="s">
        <v>186</v>
      </c>
      <c r="D109" s="12" t="str">
        <f aca="false">Projects!$B$2</f>
        <v>archetypes_metabo</v>
      </c>
      <c r="E109" s="12" t="s">
        <v>168</v>
      </c>
      <c r="F109" s="17" t="s">
        <v>139</v>
      </c>
      <c r="G109" s="12" t="s">
        <v>157</v>
      </c>
      <c r="H109" s="1" t="n">
        <f aca="false">IF(B109=0,0,3)</f>
        <v>3</v>
      </c>
      <c r="I109" s="16" t="n">
        <f aca="false">IF(B109&gt;0,B109,"")</f>
        <v>0.016627358490566</v>
      </c>
      <c r="J109" s="16" t="n">
        <f aca="false">IF(I109="","",I109*Source!$B$77)</f>
        <v>0.16627358490566</v>
      </c>
      <c r="L109" s="1"/>
    </row>
    <row r="111" customFormat="false" ht="15" hidden="false" customHeight="false" outlineLevel="0" collapsed="false">
      <c r="A111" s="14" t="s">
        <v>131</v>
      </c>
      <c r="B111" s="14" t="s">
        <v>159</v>
      </c>
      <c r="C111" s="13"/>
      <c r="D111" s="12"/>
      <c r="E111" s="12"/>
      <c r="F111" s="12"/>
      <c r="G111" s="12"/>
    </row>
    <row r="112" customFormat="false" ht="12.8" hidden="false" customHeight="false" outlineLevel="0" collapsed="false">
      <c r="A112" s="12" t="s">
        <v>133</v>
      </c>
      <c r="B112" s="12" t="s">
        <v>168</v>
      </c>
      <c r="C112" s="12"/>
      <c r="D112" s="12"/>
      <c r="E112" s="12"/>
      <c r="F112" s="12"/>
      <c r="G112" s="12"/>
    </row>
    <row r="113" customFormat="false" ht="13.8" hidden="false" customHeight="false" outlineLevel="0" collapsed="false">
      <c r="A113" s="12" t="s">
        <v>135</v>
      </c>
      <c r="B113" s="12" t="s">
        <v>192</v>
      </c>
      <c r="C113" s="13"/>
      <c r="D113" s="12"/>
      <c r="E113" s="12"/>
      <c r="F113" s="12"/>
      <c r="G113" s="12"/>
    </row>
    <row r="114" customFormat="false" ht="12.8" hidden="false" customHeight="false" outlineLevel="0" collapsed="false">
      <c r="A114" s="12" t="s">
        <v>136</v>
      </c>
      <c r="B114" s="12" t="s">
        <v>171</v>
      </c>
      <c r="C114" s="12"/>
      <c r="D114" s="12"/>
      <c r="E114" s="12"/>
      <c r="F114" s="12"/>
      <c r="G114" s="12"/>
    </row>
    <row r="115" customFormat="false" ht="12.8" hidden="false" customHeight="false" outlineLevel="0" collapsed="false">
      <c r="A115" s="12" t="s">
        <v>138</v>
      </c>
      <c r="B115" s="12" t="s">
        <v>139</v>
      </c>
      <c r="C115" s="12"/>
      <c r="D115" s="12"/>
      <c r="E115" s="12"/>
      <c r="F115" s="12"/>
      <c r="G115" s="12"/>
    </row>
    <row r="116" customFormat="false" ht="12.8" hidden="false" customHeight="false" outlineLevel="0" collapsed="false">
      <c r="A116" s="12" t="s">
        <v>140</v>
      </c>
      <c r="B116" s="12" t="n">
        <v>1</v>
      </c>
      <c r="C116" s="12"/>
      <c r="D116" s="12"/>
      <c r="E116" s="12"/>
      <c r="F116" s="12"/>
      <c r="G116" s="12"/>
    </row>
    <row r="117" customFormat="false" ht="12.8" hidden="false" customHeight="false" outlineLevel="0" collapsed="false">
      <c r="A117" s="12" t="s">
        <v>141</v>
      </c>
      <c r="B117" s="12" t="s">
        <v>142</v>
      </c>
      <c r="C117" s="12"/>
      <c r="D117" s="12"/>
      <c r="E117" s="12"/>
      <c r="F117" s="12"/>
      <c r="G117" s="12"/>
    </row>
    <row r="118" customFormat="false" ht="12.8" hidden="false" customHeight="false" outlineLevel="0" collapsed="false">
      <c r="A118" s="12" t="s">
        <v>143</v>
      </c>
      <c r="B118" s="12" t="s">
        <v>156</v>
      </c>
      <c r="C118" s="12"/>
      <c r="D118" s="12"/>
      <c r="E118" s="12"/>
      <c r="F118" s="12"/>
      <c r="G118" s="12"/>
    </row>
    <row r="119" customFormat="false" ht="15" hidden="false" customHeight="false" outlineLevel="0" collapsed="false">
      <c r="A119" s="14" t="s">
        <v>144</v>
      </c>
      <c r="B119" s="12"/>
      <c r="C119" s="12"/>
      <c r="D119" s="12"/>
      <c r="E119" s="12"/>
      <c r="F119" s="12"/>
      <c r="G119" s="12"/>
    </row>
    <row r="120" customFormat="false" ht="15" hidden="false" customHeight="false" outlineLevel="0" collapsed="false">
      <c r="A120" s="14" t="s">
        <v>145</v>
      </c>
      <c r="B120" s="14" t="s">
        <v>146</v>
      </c>
      <c r="C120" s="14" t="s">
        <v>143</v>
      </c>
      <c r="D120" s="14" t="s">
        <v>147</v>
      </c>
      <c r="E120" s="14" t="s">
        <v>133</v>
      </c>
      <c r="F120" s="14" t="s">
        <v>138</v>
      </c>
      <c r="G120" s="14" t="s">
        <v>141</v>
      </c>
      <c r="H120" s="15" t="s">
        <v>148</v>
      </c>
      <c r="I120" s="15" t="s">
        <v>149</v>
      </c>
      <c r="J120" s="15" t="s">
        <v>150</v>
      </c>
      <c r="K120" s="15" t="s">
        <v>151</v>
      </c>
      <c r="L120" s="15" t="s">
        <v>152</v>
      </c>
      <c r="M120" s="15" t="s">
        <v>153</v>
      </c>
    </row>
    <row r="121" customFormat="false" ht="12.8" hidden="false" customHeight="false" outlineLevel="0" collapsed="false">
      <c r="A121" s="12" t="s">
        <v>159</v>
      </c>
      <c r="B121" s="16" t="n">
        <v>1</v>
      </c>
      <c r="C121" s="17" t="s">
        <v>156</v>
      </c>
      <c r="D121" s="12" t="str">
        <f aca="false">Projects!$B$2</f>
        <v>archetypes_metabo</v>
      </c>
      <c r="E121" s="12" t="s">
        <v>168</v>
      </c>
      <c r="F121" s="17" t="s">
        <v>139</v>
      </c>
      <c r="G121" s="1" t="s">
        <v>154</v>
      </c>
    </row>
    <row r="122" customFormat="false" ht="12.8" hidden="false" customHeight="false" outlineLevel="0" collapsed="false">
      <c r="A122" s="12" t="s">
        <v>172</v>
      </c>
      <c r="B122" s="16" t="n">
        <f aca="false">Source!G10</f>
        <v>371.598591253266</v>
      </c>
      <c r="C122" s="17" t="s">
        <v>173</v>
      </c>
      <c r="D122" s="12" t="str">
        <f aca="false">Projects!$B$2</f>
        <v>archetypes_metabo</v>
      </c>
      <c r="E122" s="12" t="s">
        <v>168</v>
      </c>
      <c r="F122" s="17" t="s">
        <v>139</v>
      </c>
      <c r="G122" s="12" t="s">
        <v>157</v>
      </c>
      <c r="H122" s="1" t="n">
        <f aca="false">IF(B122=0,0,3)</f>
        <v>3</v>
      </c>
      <c r="I122" s="16" t="n">
        <f aca="false">IF(B122&gt;0,B122,"")</f>
        <v>371.598591253266</v>
      </c>
      <c r="J122" s="16" t="n">
        <f aca="false">IF(I122="","",I122*Source!$B$77)</f>
        <v>3715.98591253266</v>
      </c>
      <c r="L122" s="1"/>
    </row>
    <row r="123" customFormat="false" ht="12.8" hidden="false" customHeight="false" outlineLevel="0" collapsed="false">
      <c r="A123" s="12" t="s">
        <v>174</v>
      </c>
      <c r="B123" s="16" t="n">
        <f aca="false">Source!G11</f>
        <v>1.66349533681056</v>
      </c>
      <c r="C123" s="17" t="s">
        <v>173</v>
      </c>
      <c r="D123" s="12" t="str">
        <f aca="false">Projects!$B$2</f>
        <v>archetypes_metabo</v>
      </c>
      <c r="E123" s="12" t="s">
        <v>168</v>
      </c>
      <c r="F123" s="17" t="s">
        <v>139</v>
      </c>
      <c r="G123" s="12" t="s">
        <v>157</v>
      </c>
      <c r="H123" s="1" t="n">
        <f aca="false">IF(B123=0,0,3)</f>
        <v>3</v>
      </c>
      <c r="I123" s="16" t="n">
        <f aca="false">IF(B123&gt;0,B123,"")</f>
        <v>1.66349533681056</v>
      </c>
      <c r="J123" s="16" t="n">
        <f aca="false">IF(I123="","",I123*Source!$B$77)</f>
        <v>16.6349533681056</v>
      </c>
      <c r="L123" s="1"/>
    </row>
    <row r="124" customFormat="false" ht="12.8" hidden="false" customHeight="false" outlineLevel="0" collapsed="false">
      <c r="A124" s="12" t="s">
        <v>175</v>
      </c>
      <c r="B124" s="16" t="n">
        <f aca="false">Source!G12</f>
        <v>5.38879235589935</v>
      </c>
      <c r="C124" s="17" t="s">
        <v>173</v>
      </c>
      <c r="D124" s="12" t="str">
        <f aca="false">Projects!$B$2</f>
        <v>archetypes_metabo</v>
      </c>
      <c r="E124" s="12" t="s">
        <v>168</v>
      </c>
      <c r="F124" s="17" t="s">
        <v>139</v>
      </c>
      <c r="G124" s="12" t="s">
        <v>157</v>
      </c>
      <c r="H124" s="1" t="n">
        <f aca="false">IF(B124=0,0,3)</f>
        <v>3</v>
      </c>
      <c r="I124" s="16" t="n">
        <f aca="false">IF(B124&gt;0,B124,"")</f>
        <v>5.38879235589935</v>
      </c>
      <c r="J124" s="16" t="n">
        <f aca="false">IF(I124="","",I124*Source!$B$77)</f>
        <v>53.8879235589935</v>
      </c>
      <c r="L124" s="1"/>
    </row>
    <row r="125" customFormat="false" ht="12.8" hidden="false" customHeight="false" outlineLevel="0" collapsed="false">
      <c r="A125" s="17" t="s">
        <v>176</v>
      </c>
      <c r="B125" s="16" t="n">
        <f aca="false">Source!G13</f>
        <v>6.08084476155493</v>
      </c>
      <c r="C125" s="17" t="s">
        <v>173</v>
      </c>
      <c r="D125" s="12" t="str">
        <f aca="false">Projects!$B$2</f>
        <v>archetypes_metabo</v>
      </c>
      <c r="E125" s="12" t="s">
        <v>168</v>
      </c>
      <c r="F125" s="17" t="s">
        <v>139</v>
      </c>
      <c r="G125" s="12" t="s">
        <v>157</v>
      </c>
      <c r="H125" s="1" t="n">
        <f aca="false">IF(B125=0,0,3)</f>
        <v>3</v>
      </c>
      <c r="I125" s="16" t="n">
        <f aca="false">IF(B125&gt;0,B125,"")</f>
        <v>6.08084476155493</v>
      </c>
      <c r="J125" s="16" t="n">
        <f aca="false">IF(I125="","",I125*Source!$B$77)</f>
        <v>60.8084476155493</v>
      </c>
      <c r="L125" s="1"/>
    </row>
    <row r="126" customFormat="false" ht="12.8" hidden="false" customHeight="false" outlineLevel="0" collapsed="false">
      <c r="A126" s="17" t="s">
        <v>177</v>
      </c>
      <c r="B126" s="16" t="n">
        <f aca="false">Source!G14</f>
        <v>11.9220641760255</v>
      </c>
      <c r="C126" s="17" t="s">
        <v>173</v>
      </c>
      <c r="D126" s="12" t="str">
        <f aca="false">Projects!$B$2</f>
        <v>archetypes_metabo</v>
      </c>
      <c r="E126" s="12" t="s">
        <v>168</v>
      </c>
      <c r="F126" s="17" t="s">
        <v>139</v>
      </c>
      <c r="G126" s="12" t="s">
        <v>157</v>
      </c>
      <c r="H126" s="1" t="n">
        <f aca="false">IF(B126=0,0,3)</f>
        <v>3</v>
      </c>
      <c r="I126" s="16" t="n">
        <f aca="false">IF(B126&gt;0,B126,"")</f>
        <v>11.9220641760255</v>
      </c>
      <c r="J126" s="16" t="n">
        <f aca="false">IF(I126="","",I126*Source!$B$77)</f>
        <v>119.220641760255</v>
      </c>
      <c r="L126" s="1"/>
    </row>
    <row r="127" customFormat="false" ht="12.8" hidden="false" customHeight="false" outlineLevel="0" collapsed="false">
      <c r="A127" s="17" t="s">
        <v>178</v>
      </c>
      <c r="B127" s="16" t="n">
        <f aca="false">Source!G15</f>
        <v>0.330208281139609</v>
      </c>
      <c r="C127" s="17" t="s">
        <v>173</v>
      </c>
      <c r="D127" s="12" t="str">
        <f aca="false">Projects!$B$2</f>
        <v>archetypes_metabo</v>
      </c>
      <c r="E127" s="12" t="s">
        <v>168</v>
      </c>
      <c r="F127" s="17" t="s">
        <v>139</v>
      </c>
      <c r="G127" s="12" t="s">
        <v>157</v>
      </c>
      <c r="H127" s="1" t="n">
        <f aca="false">IF(B127=0,0,3)</f>
        <v>3</v>
      </c>
      <c r="I127" s="16" t="n">
        <f aca="false">IF(B127&gt;0,B127,"")</f>
        <v>0.330208281139609</v>
      </c>
      <c r="J127" s="16" t="n">
        <f aca="false">IF(I127="","",I127*Source!$B$77)</f>
        <v>3.30208281139609</v>
      </c>
      <c r="L127" s="1"/>
    </row>
    <row r="128" customFormat="false" ht="12.8" hidden="false" customHeight="false" outlineLevel="0" collapsed="false">
      <c r="A128" s="17" t="s">
        <v>179</v>
      </c>
      <c r="B128" s="16" t="n">
        <f aca="false">Source!G16</f>
        <v>0</v>
      </c>
      <c r="C128" s="17" t="s">
        <v>173</v>
      </c>
      <c r="D128" s="12" t="str">
        <f aca="false">Projects!$B$2</f>
        <v>archetypes_metabo</v>
      </c>
      <c r="E128" s="12" t="s">
        <v>168</v>
      </c>
      <c r="F128" s="17" t="s">
        <v>139</v>
      </c>
      <c r="G128" s="12" t="s">
        <v>157</v>
      </c>
      <c r="H128" s="1" t="n">
        <f aca="false">IF(B128=0,0,3)</f>
        <v>0</v>
      </c>
      <c r="I128" s="16" t="str">
        <f aca="false">IF(B128&gt;0,B128,"")</f>
        <v/>
      </c>
      <c r="J128" s="16" t="str">
        <f aca="false">IF(I128="","",I128*Source!$B$77)</f>
        <v/>
      </c>
      <c r="L128" s="1"/>
    </row>
    <row r="129" customFormat="false" ht="12.8" hidden="false" customHeight="false" outlineLevel="0" collapsed="false">
      <c r="A129" s="17" t="s">
        <v>180</v>
      </c>
      <c r="B129" s="16" t="n">
        <f aca="false">Source!G17</f>
        <v>0.292049725669897</v>
      </c>
      <c r="C129" s="17" t="s">
        <v>173</v>
      </c>
      <c r="D129" s="12" t="str">
        <f aca="false">Projects!$B$2</f>
        <v>archetypes_metabo</v>
      </c>
      <c r="E129" s="12" t="s">
        <v>168</v>
      </c>
      <c r="F129" s="17" t="s">
        <v>139</v>
      </c>
      <c r="G129" s="12" t="s">
        <v>157</v>
      </c>
      <c r="H129" s="1" t="n">
        <f aca="false">IF(B129=0,0,3)</f>
        <v>3</v>
      </c>
      <c r="I129" s="16" t="n">
        <f aca="false">IF(B129&gt;0,B129,"")</f>
        <v>0.292049725669897</v>
      </c>
      <c r="J129" s="16" t="n">
        <f aca="false">IF(I129="","",I129*Source!$B$77)</f>
        <v>2.92049725669897</v>
      </c>
      <c r="L129" s="1"/>
    </row>
    <row r="130" customFormat="false" ht="12.8" hidden="false" customHeight="false" outlineLevel="0" collapsed="false">
      <c r="A130" s="17" t="s">
        <v>181</v>
      </c>
      <c r="B130" s="16" t="n">
        <f aca="false">Source!G18</f>
        <v>0.216300633300902</v>
      </c>
      <c r="C130" s="17" t="s">
        <v>173</v>
      </c>
      <c r="D130" s="12" t="str">
        <f aca="false">Projects!$B$2</f>
        <v>archetypes_metabo</v>
      </c>
      <c r="E130" s="12" t="s">
        <v>168</v>
      </c>
      <c r="F130" s="17" t="s">
        <v>139</v>
      </c>
      <c r="G130" s="12" t="s">
        <v>157</v>
      </c>
      <c r="H130" s="1" t="n">
        <f aca="false">IF(B130=0,0,3)</f>
        <v>3</v>
      </c>
      <c r="I130" s="16" t="n">
        <f aca="false">IF(B130&gt;0,B130,"")</f>
        <v>0.216300633300902</v>
      </c>
      <c r="J130" s="16" t="n">
        <f aca="false">IF(I130="","",I130*Source!$B$77)</f>
        <v>2.16300633300902</v>
      </c>
      <c r="L130" s="1"/>
    </row>
    <row r="131" customFormat="false" ht="12.8" hidden="false" customHeight="false" outlineLevel="0" collapsed="false">
      <c r="A131" s="17" t="s">
        <v>182</v>
      </c>
      <c r="B131" s="16" t="n">
        <f aca="false">Source!G19</f>
        <v>3.38279424066537</v>
      </c>
      <c r="C131" s="17" t="s">
        <v>173</v>
      </c>
      <c r="D131" s="12" t="str">
        <f aca="false">Projects!$B$2</f>
        <v>archetypes_metabo</v>
      </c>
      <c r="E131" s="12" t="s">
        <v>168</v>
      </c>
      <c r="F131" s="17" t="s">
        <v>139</v>
      </c>
      <c r="G131" s="12" t="s">
        <v>157</v>
      </c>
      <c r="H131" s="1" t="n">
        <f aca="false">IF(B131=0,0,3)</f>
        <v>3</v>
      </c>
      <c r="I131" s="16" t="n">
        <f aca="false">IF(B131&gt;0,B131,"")</f>
        <v>3.38279424066537</v>
      </c>
      <c r="J131" s="16" t="n">
        <f aca="false">IF(I131="","",I131*Source!$B$77)</f>
        <v>33.8279424066537</v>
      </c>
      <c r="L131" s="1"/>
    </row>
    <row r="132" customFormat="false" ht="12.8" hidden="false" customHeight="false" outlineLevel="0" collapsed="false">
      <c r="A132" s="17" t="s">
        <v>183</v>
      </c>
      <c r="B132" s="16" t="n">
        <f aca="false">Source!G20</f>
        <v>5.23972364085629</v>
      </c>
      <c r="C132" s="17" t="s">
        <v>173</v>
      </c>
      <c r="D132" s="12" t="str">
        <f aca="false">Projects!$B$2</f>
        <v>archetypes_metabo</v>
      </c>
      <c r="E132" s="12" t="s">
        <v>168</v>
      </c>
      <c r="F132" s="17" t="s">
        <v>139</v>
      </c>
      <c r="G132" s="12" t="s">
        <v>157</v>
      </c>
      <c r="H132" s="1" t="n">
        <f aca="false">IF(B132=0,0,3)</f>
        <v>3</v>
      </c>
      <c r="I132" s="16" t="n">
        <f aca="false">IF(B132&gt;0,B132,"")</f>
        <v>5.23972364085629</v>
      </c>
      <c r="J132" s="16" t="n">
        <f aca="false">IF(I132="","",I132*Source!$B$77)</f>
        <v>52.3972364085629</v>
      </c>
      <c r="L132" s="1"/>
    </row>
    <row r="133" customFormat="false" ht="12.8" hidden="false" customHeight="false" outlineLevel="0" collapsed="false">
      <c r="A133" s="12" t="s">
        <v>184</v>
      </c>
      <c r="B133" s="16" t="n">
        <f aca="false">Source!G21</f>
        <v>0.292376972990324</v>
      </c>
      <c r="C133" s="17" t="s">
        <v>173</v>
      </c>
      <c r="D133" s="12" t="str">
        <f aca="false">Projects!$B$2</f>
        <v>archetypes_metabo</v>
      </c>
      <c r="E133" s="12" t="s">
        <v>168</v>
      </c>
      <c r="F133" s="17" t="s">
        <v>139</v>
      </c>
      <c r="G133" s="12" t="s">
        <v>157</v>
      </c>
      <c r="H133" s="1" t="n">
        <f aca="false">IF(B133=0,0,3)</f>
        <v>3</v>
      </c>
      <c r="I133" s="16" t="n">
        <f aca="false">IF(B133&gt;0,B133,"")</f>
        <v>0.292376972990324</v>
      </c>
      <c r="J133" s="16" t="n">
        <f aca="false">IF(I133="","",I133*Source!$B$77)</f>
        <v>2.92376972990324</v>
      </c>
      <c r="L133" s="1"/>
    </row>
    <row r="134" customFormat="false" ht="12.8" hidden="false" customHeight="false" outlineLevel="0" collapsed="false">
      <c r="A134" s="12" t="s">
        <v>25</v>
      </c>
      <c r="B134" s="16" t="n">
        <f aca="false">Source!G22</f>
        <v>3500</v>
      </c>
      <c r="C134" s="17" t="s">
        <v>185</v>
      </c>
      <c r="D134" s="12" t="str">
        <f aca="false">Projects!$B$2</f>
        <v>archetypes_metabo</v>
      </c>
      <c r="E134" s="12" t="s">
        <v>168</v>
      </c>
      <c r="F134" s="17" t="s">
        <v>139</v>
      </c>
      <c r="G134" s="12" t="s">
        <v>157</v>
      </c>
      <c r="H134" s="1" t="n">
        <f aca="false">IF(B134=0,0,3)</f>
        <v>3</v>
      </c>
      <c r="I134" s="16" t="n">
        <f aca="false">IF(B134&gt;0,B134,"")</f>
        <v>3500</v>
      </c>
      <c r="J134" s="16" t="n">
        <f aca="false">IF(I134="","",I134*Source!$B$77)</f>
        <v>35000</v>
      </c>
      <c r="L134" s="1"/>
    </row>
    <row r="135" customFormat="false" ht="12.8" hidden="false" customHeight="false" outlineLevel="0" collapsed="false">
      <c r="A135" s="12" t="s">
        <v>27</v>
      </c>
      <c r="B135" s="16" t="n">
        <f aca="false">Source!G23</f>
        <v>5350</v>
      </c>
      <c r="C135" s="17" t="s">
        <v>185</v>
      </c>
      <c r="D135" s="12" t="str">
        <f aca="false">Projects!$B$2</f>
        <v>archetypes_metabo</v>
      </c>
      <c r="E135" s="12" t="s">
        <v>168</v>
      </c>
      <c r="F135" s="17" t="s">
        <v>139</v>
      </c>
      <c r="G135" s="12" t="s">
        <v>157</v>
      </c>
      <c r="H135" s="1" t="n">
        <f aca="false">IF(B135=0,0,3)</f>
        <v>3</v>
      </c>
      <c r="I135" s="16" t="n">
        <f aca="false">IF(B135&gt;0,B135,"")</f>
        <v>5350</v>
      </c>
      <c r="J135" s="16" t="n">
        <f aca="false">IF(I135="","",I135*Source!$B$77)</f>
        <v>53500</v>
      </c>
      <c r="L135" s="1"/>
    </row>
    <row r="136" customFormat="false" ht="12.8" hidden="false" customHeight="false" outlineLevel="0" collapsed="false">
      <c r="A136" s="12" t="s">
        <v>30</v>
      </c>
      <c r="B136" s="16" t="n">
        <f aca="false">Source!G26</f>
        <v>17</v>
      </c>
      <c r="C136" s="17" t="s">
        <v>186</v>
      </c>
      <c r="D136" s="12" t="str">
        <f aca="false">Projects!$B$2</f>
        <v>archetypes_metabo</v>
      </c>
      <c r="E136" s="12" t="s">
        <v>168</v>
      </c>
      <c r="F136" s="17" t="s">
        <v>139</v>
      </c>
      <c r="G136" s="12" t="s">
        <v>157</v>
      </c>
      <c r="H136" s="1" t="n">
        <f aca="false">IF(B136=0,0,3)</f>
        <v>3</v>
      </c>
      <c r="I136" s="16" t="n">
        <f aca="false">IF(B136&gt;0,B136,"")</f>
        <v>17</v>
      </c>
      <c r="J136" s="16" t="n">
        <f aca="false">IF(I136="","",I136*Source!$B$77)</f>
        <v>170</v>
      </c>
      <c r="L136" s="1"/>
    </row>
    <row r="138" customFormat="false" ht="15" hidden="false" customHeight="false" outlineLevel="0" collapsed="false">
      <c r="A138" s="14" t="s">
        <v>131</v>
      </c>
      <c r="B138" s="14" t="s">
        <v>160</v>
      </c>
      <c r="D138" s="12"/>
      <c r="E138" s="12"/>
      <c r="F138" s="12"/>
    </row>
    <row r="139" customFormat="false" ht="12.8" hidden="false" customHeight="false" outlineLevel="0" collapsed="false">
      <c r="A139" s="12" t="s">
        <v>133</v>
      </c>
      <c r="B139" s="12" t="s">
        <v>168</v>
      </c>
      <c r="D139" s="12"/>
      <c r="E139" s="12"/>
      <c r="F139" s="12"/>
    </row>
    <row r="140" customFormat="false" ht="12.8" hidden="false" customHeight="false" outlineLevel="0" collapsed="false">
      <c r="A140" s="12" t="s">
        <v>135</v>
      </c>
      <c r="B140" s="12" t="s">
        <v>193</v>
      </c>
      <c r="D140" s="12"/>
      <c r="E140" s="12"/>
      <c r="F140" s="12"/>
    </row>
    <row r="141" customFormat="false" ht="12.8" hidden="false" customHeight="false" outlineLevel="0" collapsed="false">
      <c r="A141" s="12" t="s">
        <v>138</v>
      </c>
      <c r="B141" s="12" t="s">
        <v>139</v>
      </c>
      <c r="D141" s="12"/>
      <c r="E141" s="12"/>
      <c r="F141" s="12"/>
    </row>
    <row r="142" customFormat="false" ht="12.8" hidden="false" customHeight="false" outlineLevel="0" collapsed="false">
      <c r="A142" s="12" t="s">
        <v>140</v>
      </c>
      <c r="B142" s="12" t="n">
        <v>1</v>
      </c>
      <c r="D142" s="12"/>
      <c r="E142" s="12"/>
      <c r="F142" s="12"/>
    </row>
    <row r="143" customFormat="false" ht="12.8" hidden="false" customHeight="false" outlineLevel="0" collapsed="false">
      <c r="A143" s="12" t="s">
        <v>141</v>
      </c>
      <c r="B143" s="12" t="s">
        <v>142</v>
      </c>
      <c r="D143" s="12"/>
      <c r="E143" s="12"/>
      <c r="F143" s="12"/>
    </row>
    <row r="144" customFormat="false" ht="12.8" hidden="false" customHeight="false" outlineLevel="0" collapsed="false">
      <c r="A144" s="12" t="s">
        <v>143</v>
      </c>
      <c r="B144" s="12" t="s">
        <v>156</v>
      </c>
      <c r="D144" s="12"/>
      <c r="E144" s="12"/>
      <c r="F144" s="12"/>
    </row>
    <row r="145" customFormat="false" ht="15" hidden="false" customHeight="false" outlineLevel="0" collapsed="false">
      <c r="A145" s="14" t="s">
        <v>144</v>
      </c>
      <c r="D145" s="12"/>
      <c r="E145" s="12"/>
      <c r="F145" s="12"/>
    </row>
    <row r="146" customFormat="false" ht="15" hidden="false" customHeight="false" outlineLevel="0" collapsed="false">
      <c r="A146" s="14" t="s">
        <v>145</v>
      </c>
      <c r="B146" s="14" t="s">
        <v>146</v>
      </c>
      <c r="C146" s="14" t="s">
        <v>143</v>
      </c>
      <c r="D146" s="14" t="s">
        <v>147</v>
      </c>
      <c r="E146" s="14" t="s">
        <v>133</v>
      </c>
      <c r="F146" s="14" t="s">
        <v>138</v>
      </c>
      <c r="G146" s="14" t="s">
        <v>141</v>
      </c>
      <c r="H146" s="15" t="s">
        <v>148</v>
      </c>
      <c r="I146" s="15" t="s">
        <v>149</v>
      </c>
      <c r="J146" s="15" t="s">
        <v>150</v>
      </c>
      <c r="K146" s="15" t="s">
        <v>151</v>
      </c>
      <c r="L146" s="15" t="s">
        <v>152</v>
      </c>
      <c r="M146" s="15" t="s">
        <v>153</v>
      </c>
    </row>
    <row r="147" customFormat="false" ht="13.8" hidden="false" customHeight="false" outlineLevel="0" collapsed="false">
      <c r="A147" s="17" t="s">
        <v>160</v>
      </c>
      <c r="B147" s="12" t="n">
        <v>1</v>
      </c>
      <c r="C147" s="18" t="s">
        <v>156</v>
      </c>
      <c r="D147" s="12" t="str">
        <f aca="false">Projects!$B$2</f>
        <v>archetypes_metabo</v>
      </c>
      <c r="E147" s="12"/>
      <c r="F147" s="18" t="s">
        <v>139</v>
      </c>
      <c r="G147" s="1" t="s">
        <v>154</v>
      </c>
    </row>
    <row r="148" customFormat="false" ht="13.8" hidden="false" customHeight="false" outlineLevel="0" collapsed="false">
      <c r="A148" s="17" t="s">
        <v>194</v>
      </c>
      <c r="B148" s="18" t="n">
        <f aca="false">$B$142*Source!$B$31/Source!$B$63</f>
        <v>5</v>
      </c>
      <c r="C148" s="19" t="s">
        <v>195</v>
      </c>
      <c r="D148" s="18" t="s">
        <v>196</v>
      </c>
      <c r="E148" s="12"/>
      <c r="F148" s="18" t="s">
        <v>197</v>
      </c>
      <c r="G148" s="12" t="s">
        <v>157</v>
      </c>
      <c r="H148" s="1" t="n">
        <f aca="false">IF(B148=0,0,3)</f>
        <v>3</v>
      </c>
      <c r="I148" s="16" t="n">
        <f aca="false">IF(B148&gt;0,B148,"")</f>
        <v>5</v>
      </c>
      <c r="J148" s="16" t="n">
        <f aca="false">IF(I148="","",I148*Source!$B$77)</f>
        <v>50</v>
      </c>
      <c r="L148" s="1"/>
    </row>
    <row r="149" customFormat="false" ht="24.85" hidden="false" customHeight="false" outlineLevel="0" collapsed="false">
      <c r="A149" s="17" t="s">
        <v>198</v>
      </c>
      <c r="B149" s="18" t="n">
        <f aca="false">B148</f>
        <v>5</v>
      </c>
      <c r="C149" s="19" t="s">
        <v>195</v>
      </c>
      <c r="D149" s="18" t="s">
        <v>196</v>
      </c>
      <c r="E149" s="12"/>
      <c r="F149" s="18" t="s">
        <v>199</v>
      </c>
      <c r="G149" s="12" t="s">
        <v>157</v>
      </c>
      <c r="H149" s="1" t="n">
        <f aca="false">IF(B149=0,0,3)</f>
        <v>3</v>
      </c>
      <c r="I149" s="16" t="n">
        <f aca="false">IF(B149&gt;0,B149,"")</f>
        <v>5</v>
      </c>
      <c r="J149" s="16" t="n">
        <f aca="false">IF(I149="","",I149*Source!$B$77)</f>
        <v>50</v>
      </c>
      <c r="L149" s="1"/>
    </row>
    <row r="150" customFormat="false" ht="13.8" hidden="false" customHeight="false" outlineLevel="0" collapsed="false">
      <c r="A150" s="18"/>
      <c r="D150" s="12"/>
      <c r="E150" s="12"/>
      <c r="F150" s="12"/>
      <c r="I150" s="16"/>
      <c r="J150" s="16"/>
    </row>
    <row r="151" customFormat="false" ht="15" hidden="false" customHeight="false" outlineLevel="0" collapsed="false">
      <c r="A151" s="14" t="s">
        <v>131</v>
      </c>
      <c r="B151" s="14" t="s">
        <v>161</v>
      </c>
      <c r="D151" s="12"/>
      <c r="E151" s="12"/>
      <c r="F151" s="12"/>
      <c r="I151" s="16"/>
      <c r="J151" s="16"/>
    </row>
    <row r="152" customFormat="false" ht="13.8" hidden="false" customHeight="false" outlineLevel="0" collapsed="false">
      <c r="A152" s="12" t="s">
        <v>133</v>
      </c>
      <c r="B152" s="12" t="s">
        <v>168</v>
      </c>
      <c r="D152" s="15"/>
      <c r="E152" s="12"/>
      <c r="F152" s="12"/>
      <c r="I152" s="16"/>
      <c r="J152" s="16"/>
    </row>
    <row r="153" customFormat="false" ht="12.8" hidden="false" customHeight="false" outlineLevel="0" collapsed="false">
      <c r="A153" s="12" t="s">
        <v>135</v>
      </c>
      <c r="B153" s="12" t="s">
        <v>201</v>
      </c>
      <c r="D153" s="12"/>
      <c r="E153" s="12"/>
      <c r="F153" s="12"/>
      <c r="I153" s="16"/>
      <c r="J153" s="16"/>
    </row>
    <row r="154" customFormat="false" ht="12.8" hidden="false" customHeight="false" outlineLevel="0" collapsed="false">
      <c r="A154" s="12" t="s">
        <v>138</v>
      </c>
      <c r="B154" s="12" t="s">
        <v>139</v>
      </c>
      <c r="D154" s="12"/>
      <c r="E154" s="12"/>
      <c r="F154" s="12"/>
      <c r="I154" s="16"/>
      <c r="J154" s="16"/>
    </row>
    <row r="155" customFormat="false" ht="12.8" hidden="false" customHeight="false" outlineLevel="0" collapsed="false">
      <c r="A155" s="12" t="s">
        <v>140</v>
      </c>
      <c r="B155" s="12" t="n">
        <v>1</v>
      </c>
      <c r="D155" s="12"/>
      <c r="E155" s="12"/>
      <c r="F155" s="12"/>
      <c r="I155" s="16"/>
      <c r="J155" s="16"/>
    </row>
    <row r="156" customFormat="false" ht="12.8" hidden="false" customHeight="false" outlineLevel="0" collapsed="false">
      <c r="A156" s="12" t="s">
        <v>141</v>
      </c>
      <c r="B156" s="12" t="s">
        <v>142</v>
      </c>
      <c r="D156" s="12"/>
      <c r="E156" s="12"/>
      <c r="F156" s="12"/>
      <c r="I156" s="16"/>
      <c r="J156" s="16"/>
    </row>
    <row r="157" customFormat="false" ht="12.8" hidden="false" customHeight="false" outlineLevel="0" collapsed="false">
      <c r="A157" s="12" t="s">
        <v>143</v>
      </c>
      <c r="B157" s="12" t="s">
        <v>156</v>
      </c>
      <c r="D157" s="12"/>
      <c r="E157" s="12"/>
      <c r="F157" s="12"/>
      <c r="I157" s="16"/>
      <c r="J157" s="16"/>
    </row>
    <row r="158" customFormat="false" ht="15" hidden="false" customHeight="false" outlineLevel="0" collapsed="false">
      <c r="A158" s="14" t="s">
        <v>144</v>
      </c>
      <c r="D158" s="12"/>
      <c r="E158" s="12"/>
      <c r="F158" s="12"/>
      <c r="I158" s="16"/>
      <c r="J158" s="16"/>
    </row>
    <row r="159" customFormat="false" ht="15" hidden="false" customHeight="false" outlineLevel="0" collapsed="false">
      <c r="A159" s="14" t="s">
        <v>145</v>
      </c>
      <c r="B159" s="14" t="s">
        <v>146</v>
      </c>
      <c r="C159" s="14" t="s">
        <v>143</v>
      </c>
      <c r="D159" s="14" t="s">
        <v>147</v>
      </c>
      <c r="E159" s="14" t="s">
        <v>133</v>
      </c>
      <c r="F159" s="14" t="s">
        <v>138</v>
      </c>
      <c r="G159" s="14" t="s">
        <v>141</v>
      </c>
      <c r="H159" s="15" t="s">
        <v>148</v>
      </c>
      <c r="I159" s="15" t="s">
        <v>149</v>
      </c>
      <c r="J159" s="15" t="s">
        <v>150</v>
      </c>
      <c r="K159" s="15" t="s">
        <v>151</v>
      </c>
      <c r="L159" s="15" t="s">
        <v>152</v>
      </c>
      <c r="M159" s="15" t="s">
        <v>153</v>
      </c>
    </row>
    <row r="160" customFormat="false" ht="13.8" hidden="false" customHeight="false" outlineLevel="0" collapsed="false">
      <c r="A160" s="17" t="s">
        <v>161</v>
      </c>
      <c r="B160" s="12" t="n">
        <v>1</v>
      </c>
      <c r="C160" s="18" t="s">
        <v>156</v>
      </c>
      <c r="D160" s="12" t="str">
        <f aca="false">Projects!$B$2</f>
        <v>archetypes_metabo</v>
      </c>
      <c r="E160" s="12"/>
      <c r="F160" s="18" t="s">
        <v>139</v>
      </c>
      <c r="G160" s="1" t="s">
        <v>154</v>
      </c>
    </row>
    <row r="161" customFormat="false" ht="23.85" hidden="false" customHeight="false" outlineLevel="0" collapsed="false">
      <c r="A161" s="20" t="s">
        <v>203</v>
      </c>
      <c r="B161" s="21" t="n">
        <f aca="false">Source!B65</f>
        <v>0.00645161290322581</v>
      </c>
      <c r="C161" s="18" t="s">
        <v>143</v>
      </c>
      <c r="D161" s="18" t="s">
        <v>196</v>
      </c>
      <c r="E161" s="12"/>
      <c r="F161" s="18" t="s">
        <v>197</v>
      </c>
      <c r="G161" s="12" t="s">
        <v>157</v>
      </c>
      <c r="H161" s="1" t="n">
        <f aca="false">IF(B161=0,0,3)</f>
        <v>3</v>
      </c>
      <c r="I161" s="16" t="n">
        <f aca="false">IF(B161&gt;0,B161,"")</f>
        <v>0.00645161290322581</v>
      </c>
      <c r="J161" s="16" t="n">
        <f aca="false">IF(I161="","",I161*Source!$B$77)</f>
        <v>0.0645161290322581</v>
      </c>
      <c r="L161" s="1"/>
    </row>
    <row r="162" customFormat="false" ht="12.8" hidden="false" customHeight="false" outlineLevel="0" collapsed="false">
      <c r="A162" s="1" t="s">
        <v>206</v>
      </c>
      <c r="B162" s="1" t="n">
        <f aca="false">Source!B64*Source!B31</f>
        <v>12400</v>
      </c>
      <c r="C162" s="1" t="s">
        <v>173</v>
      </c>
      <c r="D162" s="1" t="s">
        <v>196</v>
      </c>
      <c r="F162" s="1" t="s">
        <v>205</v>
      </c>
      <c r="G162" s="1" t="s">
        <v>157</v>
      </c>
      <c r="H162" s="1" t="n">
        <f aca="false">IF(B162=0,0,3)</f>
        <v>3</v>
      </c>
      <c r="I162" s="16" t="n">
        <f aca="false">IF(B162&gt;0,B162,"")</f>
        <v>12400</v>
      </c>
      <c r="J162" s="16" t="n">
        <f aca="false">IF(I162="","",I162*Source!$B$77)</f>
        <v>124000</v>
      </c>
      <c r="L162" s="1"/>
    </row>
    <row r="163" customFormat="false" ht="12.8" hidden="false" customHeight="false" outlineLevel="0" collapsed="false">
      <c r="A163" s="1" t="s">
        <v>207</v>
      </c>
      <c r="B163" s="1" t="n">
        <f aca="false">B162*(1-Source!B67)/1000</f>
        <v>3.72</v>
      </c>
      <c r="C163" s="1" t="s">
        <v>186</v>
      </c>
      <c r="D163" s="1" t="s">
        <v>208</v>
      </c>
      <c r="E163" s="1" t="s">
        <v>209</v>
      </c>
      <c r="G163" s="1" t="s">
        <v>210</v>
      </c>
      <c r="H163" s="1" t="n">
        <f aca="false">IF(B163=0,0,3)</f>
        <v>3</v>
      </c>
      <c r="I163" s="16" t="n">
        <f aca="false">IF(B163&gt;0,B163,"")</f>
        <v>3.72</v>
      </c>
      <c r="J163" s="16" t="n">
        <f aca="false">IF(I163="","",I163*Source!$B$77)</f>
        <v>37.2</v>
      </c>
      <c r="L163" s="1"/>
    </row>
    <row r="164" customFormat="false" ht="12.8" hidden="false" customHeight="false" outlineLevel="0" collapsed="false">
      <c r="A164" s="1" t="s">
        <v>207</v>
      </c>
      <c r="B164" s="1" t="n">
        <f aca="false">B162*Source!B67/1000</f>
        <v>8.68</v>
      </c>
      <c r="C164" s="1" t="s">
        <v>186</v>
      </c>
      <c r="D164" s="1" t="s">
        <v>208</v>
      </c>
      <c r="E164" s="1" t="s">
        <v>211</v>
      </c>
      <c r="G164" s="1" t="s">
        <v>210</v>
      </c>
      <c r="H164" s="1" t="n">
        <f aca="false">IF(B164=0,0,3)</f>
        <v>3</v>
      </c>
      <c r="I164" s="16" t="n">
        <f aca="false">IF(B164&gt;0,B164,"")</f>
        <v>8.68</v>
      </c>
      <c r="J164" s="16" t="n">
        <f aca="false">IF(I164="","",I164*Source!$B$77)</f>
        <v>86.8</v>
      </c>
      <c r="L16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82" activeCellId="0" sqref="B18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1" width="31.93"/>
    <col collapsed="false" customWidth="true" hidden="false" outlineLevel="0" max="3" min="3" style="1" width="12.76"/>
    <col collapsed="false" customWidth="true" hidden="false" outlineLevel="0" max="4" min="4" style="1" width="20.56"/>
    <col collapsed="false" customWidth="true" hidden="false" outlineLevel="0" max="5" min="5" style="1" width="19.48"/>
  </cols>
  <sheetData>
    <row r="1" customFormat="false" ht="15" hidden="false" customHeight="false" outlineLevel="0" collapsed="false">
      <c r="A1" s="14" t="s">
        <v>131</v>
      </c>
      <c r="B1" s="14" t="s">
        <v>172</v>
      </c>
      <c r="C1" s="13"/>
      <c r="D1" s="12"/>
      <c r="E1" s="12"/>
      <c r="F1" s="12"/>
      <c r="G1" s="12"/>
    </row>
    <row r="2" customFormat="false" ht="12.8" hidden="false" customHeight="false" outlineLevel="0" collapsed="false">
      <c r="A2" s="12" t="s">
        <v>133</v>
      </c>
      <c r="B2" s="12" t="s">
        <v>168</v>
      </c>
      <c r="C2" s="12"/>
      <c r="D2" s="12"/>
      <c r="E2" s="12"/>
      <c r="F2" s="12"/>
      <c r="G2" s="12"/>
    </row>
    <row r="3" customFormat="false" ht="13.8" hidden="false" customHeight="false" outlineLevel="0" collapsed="false">
      <c r="A3" s="12" t="s">
        <v>135</v>
      </c>
      <c r="B3" s="12" t="s">
        <v>212</v>
      </c>
      <c r="C3" s="13"/>
      <c r="D3" s="12"/>
      <c r="E3" s="12"/>
      <c r="F3" s="12"/>
      <c r="G3" s="12"/>
    </row>
    <row r="4" customFormat="false" ht="12.8" hidden="false" customHeight="false" outlineLevel="0" collapsed="false">
      <c r="A4" s="12" t="s">
        <v>136</v>
      </c>
      <c r="B4" s="12" t="s">
        <v>213</v>
      </c>
      <c r="C4" s="12"/>
      <c r="D4" s="12"/>
      <c r="E4" s="12"/>
      <c r="F4" s="12"/>
      <c r="G4" s="12"/>
    </row>
    <row r="5" customFormat="false" ht="12.8" hidden="false" customHeight="false" outlineLevel="0" collapsed="false">
      <c r="A5" s="12" t="s">
        <v>138</v>
      </c>
      <c r="B5" s="12" t="s">
        <v>139</v>
      </c>
      <c r="C5" s="12"/>
      <c r="D5" s="12"/>
      <c r="E5" s="12"/>
      <c r="F5" s="12"/>
      <c r="G5" s="12"/>
    </row>
    <row r="6" customFormat="false" ht="12.8" hidden="false" customHeight="false" outlineLevel="0" collapsed="false">
      <c r="A6" s="12" t="s">
        <v>140</v>
      </c>
      <c r="B6" s="12" t="n">
        <v>1</v>
      </c>
      <c r="C6" s="12"/>
      <c r="D6" s="12"/>
      <c r="E6" s="12"/>
      <c r="F6" s="12"/>
      <c r="G6" s="12"/>
    </row>
    <row r="7" customFormat="false" ht="12.8" hidden="false" customHeight="false" outlineLevel="0" collapsed="false">
      <c r="A7" s="12" t="s">
        <v>141</v>
      </c>
      <c r="B7" s="12" t="s">
        <v>142</v>
      </c>
      <c r="C7" s="12"/>
      <c r="D7" s="12"/>
      <c r="E7" s="12"/>
      <c r="F7" s="12"/>
      <c r="G7" s="12"/>
    </row>
    <row r="8" customFormat="false" ht="12.8" hidden="false" customHeight="false" outlineLevel="0" collapsed="false">
      <c r="A8" s="12" t="s">
        <v>143</v>
      </c>
      <c r="B8" s="12" t="s">
        <v>173</v>
      </c>
      <c r="C8" s="12"/>
      <c r="D8" s="12"/>
      <c r="E8" s="12"/>
      <c r="F8" s="12"/>
      <c r="G8" s="12"/>
    </row>
    <row r="9" customFormat="false" ht="12.8" hidden="false" customHeight="false" outlineLevel="0" collapsed="false">
      <c r="A9" s="12" t="s">
        <v>214</v>
      </c>
      <c r="B9" s="12" t="n">
        <v>100</v>
      </c>
      <c r="C9" s="12"/>
      <c r="D9" s="12"/>
      <c r="E9" s="12"/>
      <c r="F9" s="12"/>
      <c r="G9" s="12"/>
    </row>
    <row r="10" customFormat="false" ht="15" hidden="false" customHeight="false" outlineLevel="0" collapsed="false">
      <c r="A10" s="14" t="s">
        <v>144</v>
      </c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14" t="s">
        <v>145</v>
      </c>
      <c r="B11" s="14" t="s">
        <v>146</v>
      </c>
      <c r="C11" s="14" t="s">
        <v>143</v>
      </c>
      <c r="D11" s="14" t="s">
        <v>147</v>
      </c>
      <c r="E11" s="14" t="s">
        <v>133</v>
      </c>
      <c r="F11" s="14" t="s">
        <v>138</v>
      </c>
      <c r="G11" s="14" t="s">
        <v>141</v>
      </c>
      <c r="H11" s="15" t="s">
        <v>148</v>
      </c>
      <c r="I11" s="15" t="s">
        <v>149</v>
      </c>
      <c r="J11" s="15" t="s">
        <v>150</v>
      </c>
      <c r="K11" s="15" t="s">
        <v>151</v>
      </c>
      <c r="L11" s="15" t="s">
        <v>152</v>
      </c>
      <c r="M11" s="15" t="s">
        <v>153</v>
      </c>
    </row>
    <row r="12" customFormat="false" ht="12.8" hidden="false" customHeight="false" outlineLevel="0" collapsed="false">
      <c r="A12" s="17" t="s">
        <v>172</v>
      </c>
      <c r="B12" s="12" t="n">
        <v>1</v>
      </c>
      <c r="C12" s="12" t="s">
        <v>173</v>
      </c>
      <c r="D12" s="12" t="str">
        <f aca="false">Projects!$B$2</f>
        <v>archetypes_metabo</v>
      </c>
      <c r="F12" s="17" t="s">
        <v>139</v>
      </c>
      <c r="G12" s="1" t="s">
        <v>154</v>
      </c>
    </row>
    <row r="13" customFormat="false" ht="23.85" hidden="false" customHeight="false" outlineLevel="0" collapsed="false">
      <c r="A13" s="17" t="s">
        <v>215</v>
      </c>
      <c r="B13" s="12" t="n">
        <f aca="false">1/Source!B32</f>
        <v>0.0004</v>
      </c>
      <c r="C13" s="12" t="s">
        <v>186</v>
      </c>
      <c r="D13" s="17" t="s">
        <v>196</v>
      </c>
      <c r="F13" s="17" t="s">
        <v>216</v>
      </c>
      <c r="G13" s="12" t="s">
        <v>157</v>
      </c>
    </row>
    <row r="14" customFormat="false" ht="35.05" hidden="false" customHeight="false" outlineLevel="0" collapsed="false">
      <c r="A14" s="17" t="s">
        <v>217</v>
      </c>
      <c r="B14" s="12" t="n">
        <f aca="false">-B12</f>
        <v>-1</v>
      </c>
      <c r="C14" s="12" t="s">
        <v>173</v>
      </c>
      <c r="D14" s="17" t="s">
        <v>196</v>
      </c>
      <c r="F14" s="17" t="s">
        <v>218</v>
      </c>
      <c r="G14" s="12" t="s">
        <v>157</v>
      </c>
    </row>
    <row r="15" customFormat="false" ht="12.8" hidden="false" customHeight="false" outlineLevel="0" collapsed="false">
      <c r="F15" s="1"/>
    </row>
    <row r="16" customFormat="false" ht="15" hidden="false" customHeight="false" outlineLevel="0" collapsed="false">
      <c r="A16" s="14" t="s">
        <v>131</v>
      </c>
      <c r="B16" s="14" t="s">
        <v>174</v>
      </c>
      <c r="C16" s="13"/>
      <c r="D16" s="12"/>
      <c r="E16" s="12"/>
      <c r="F16" s="12"/>
      <c r="G16" s="12"/>
    </row>
    <row r="17" customFormat="false" ht="12.8" hidden="false" customHeight="false" outlineLevel="0" collapsed="false">
      <c r="A17" s="12" t="s">
        <v>133</v>
      </c>
      <c r="B17" s="12" t="s">
        <v>168</v>
      </c>
      <c r="C17" s="12"/>
      <c r="D17" s="12"/>
      <c r="E17" s="12"/>
      <c r="F17" s="12"/>
      <c r="G17" s="12"/>
    </row>
    <row r="18" customFormat="false" ht="13.8" hidden="false" customHeight="false" outlineLevel="0" collapsed="false">
      <c r="A18" s="12" t="s">
        <v>135</v>
      </c>
      <c r="B18" s="12" t="s">
        <v>219</v>
      </c>
      <c r="C18" s="13"/>
      <c r="D18" s="12"/>
      <c r="E18" s="12"/>
      <c r="F18" s="12"/>
      <c r="G18" s="12"/>
    </row>
    <row r="19" customFormat="false" ht="12.8" hidden="false" customHeight="false" outlineLevel="0" collapsed="false">
      <c r="A19" s="12" t="s">
        <v>136</v>
      </c>
      <c r="B19" s="12" t="s">
        <v>213</v>
      </c>
      <c r="C19" s="12"/>
      <c r="D19" s="12"/>
      <c r="E19" s="12"/>
      <c r="F19" s="12"/>
      <c r="G19" s="12"/>
    </row>
    <row r="20" customFormat="false" ht="12.8" hidden="false" customHeight="false" outlineLevel="0" collapsed="false">
      <c r="A20" s="12" t="s">
        <v>138</v>
      </c>
      <c r="B20" s="12" t="s">
        <v>139</v>
      </c>
      <c r="C20" s="12"/>
      <c r="D20" s="12"/>
      <c r="E20" s="12"/>
      <c r="F20" s="12"/>
      <c r="G20" s="12"/>
    </row>
    <row r="21" customFormat="false" ht="12.8" hidden="false" customHeight="false" outlineLevel="0" collapsed="false">
      <c r="A21" s="12" t="s">
        <v>140</v>
      </c>
      <c r="B21" s="12" t="n">
        <v>1</v>
      </c>
      <c r="C21" s="12"/>
      <c r="D21" s="12"/>
      <c r="E21" s="12"/>
      <c r="F21" s="12"/>
      <c r="G21" s="12"/>
    </row>
    <row r="22" customFormat="false" ht="12.8" hidden="false" customHeight="false" outlineLevel="0" collapsed="false">
      <c r="A22" s="12" t="s">
        <v>141</v>
      </c>
      <c r="B22" s="12" t="s">
        <v>142</v>
      </c>
      <c r="C22" s="12"/>
      <c r="D22" s="12"/>
      <c r="E22" s="12"/>
      <c r="F22" s="12"/>
      <c r="G22" s="12"/>
    </row>
    <row r="23" customFormat="false" ht="12.8" hidden="false" customHeight="false" outlineLevel="0" collapsed="false">
      <c r="A23" s="12" t="s">
        <v>143</v>
      </c>
      <c r="B23" s="12" t="s">
        <v>173</v>
      </c>
      <c r="C23" s="12"/>
      <c r="D23" s="12"/>
      <c r="E23" s="12"/>
      <c r="F23" s="12"/>
      <c r="G23" s="12"/>
    </row>
    <row r="24" customFormat="false" ht="12.8" hidden="false" customHeight="false" outlineLevel="0" collapsed="false">
      <c r="A24" s="12" t="s">
        <v>214</v>
      </c>
      <c r="B24" s="12" t="n">
        <v>100</v>
      </c>
      <c r="C24" s="12"/>
      <c r="D24" s="12"/>
      <c r="E24" s="12"/>
      <c r="F24" s="12"/>
      <c r="G24" s="12"/>
    </row>
    <row r="25" customFormat="false" ht="15" hidden="false" customHeight="false" outlineLevel="0" collapsed="false">
      <c r="A25" s="14" t="s">
        <v>144</v>
      </c>
      <c r="B25" s="12"/>
      <c r="C25" s="12"/>
      <c r="D25" s="12"/>
      <c r="E25" s="12"/>
      <c r="F25" s="12"/>
      <c r="G25" s="12"/>
    </row>
    <row r="26" customFormat="false" ht="15" hidden="false" customHeight="false" outlineLevel="0" collapsed="false">
      <c r="A26" s="14" t="s">
        <v>145</v>
      </c>
      <c r="B26" s="14" t="s">
        <v>146</v>
      </c>
      <c r="C26" s="14" t="s">
        <v>143</v>
      </c>
      <c r="D26" s="14" t="s">
        <v>147</v>
      </c>
      <c r="E26" s="14" t="s">
        <v>133</v>
      </c>
      <c r="F26" s="14" t="s">
        <v>138</v>
      </c>
      <c r="G26" s="14" t="s">
        <v>141</v>
      </c>
      <c r="H26" s="15" t="s">
        <v>148</v>
      </c>
      <c r="I26" s="15" t="s">
        <v>149</v>
      </c>
      <c r="J26" s="15" t="s">
        <v>150</v>
      </c>
      <c r="K26" s="15" t="s">
        <v>151</v>
      </c>
      <c r="L26" s="15" t="s">
        <v>152</v>
      </c>
      <c r="M26" s="15" t="s">
        <v>153</v>
      </c>
    </row>
    <row r="27" customFormat="false" ht="12.8" hidden="false" customHeight="false" outlineLevel="0" collapsed="false">
      <c r="A27" s="17" t="s">
        <v>174</v>
      </c>
      <c r="B27" s="12" t="n">
        <v>1</v>
      </c>
      <c r="C27" s="12" t="s">
        <v>173</v>
      </c>
      <c r="D27" s="12" t="str">
        <f aca="false">Projects!$B$2</f>
        <v>archetypes_metabo</v>
      </c>
      <c r="F27" s="17" t="s">
        <v>139</v>
      </c>
      <c r="G27" s="1" t="s">
        <v>154</v>
      </c>
    </row>
    <row r="28" customFormat="false" ht="23.85" hidden="false" customHeight="false" outlineLevel="0" collapsed="false">
      <c r="A28" s="17" t="s">
        <v>220</v>
      </c>
      <c r="B28" s="12" t="n">
        <f aca="false">B21</f>
        <v>1</v>
      </c>
      <c r="C28" s="12" t="s">
        <v>173</v>
      </c>
      <c r="D28" s="17" t="s">
        <v>196</v>
      </c>
      <c r="F28" s="17" t="s">
        <v>197</v>
      </c>
      <c r="G28" s="12" t="s">
        <v>157</v>
      </c>
    </row>
    <row r="29" customFormat="false" ht="35.05" hidden="false" customHeight="false" outlineLevel="0" collapsed="false">
      <c r="A29" s="17" t="s">
        <v>221</v>
      </c>
      <c r="B29" s="12" t="n">
        <f aca="false">-B28</f>
        <v>-1</v>
      </c>
      <c r="C29" s="12" t="s">
        <v>173</v>
      </c>
      <c r="D29" s="17" t="s">
        <v>196</v>
      </c>
      <c r="F29" s="17" t="s">
        <v>218</v>
      </c>
      <c r="G29" s="12" t="s">
        <v>157</v>
      </c>
    </row>
    <row r="30" customFormat="false" ht="12.8" hidden="false" customHeight="false" outlineLevel="0" collapsed="false">
      <c r="F30" s="1"/>
    </row>
    <row r="31" customFormat="false" ht="15" hidden="false" customHeight="false" outlineLevel="0" collapsed="false">
      <c r="A31" s="14" t="s">
        <v>131</v>
      </c>
      <c r="B31" s="14" t="s">
        <v>175</v>
      </c>
      <c r="C31" s="13"/>
      <c r="D31" s="12"/>
      <c r="E31" s="12"/>
      <c r="F31" s="12"/>
      <c r="G31" s="12"/>
    </row>
    <row r="32" customFormat="false" ht="12.8" hidden="false" customHeight="false" outlineLevel="0" collapsed="false">
      <c r="A32" s="12" t="s">
        <v>133</v>
      </c>
      <c r="B32" s="12" t="s">
        <v>168</v>
      </c>
      <c r="C32" s="12"/>
      <c r="D32" s="12"/>
      <c r="E32" s="12"/>
      <c r="F32" s="12"/>
      <c r="G32" s="12"/>
    </row>
    <row r="33" customFormat="false" ht="13.8" hidden="false" customHeight="false" outlineLevel="0" collapsed="false">
      <c r="A33" s="12" t="s">
        <v>135</v>
      </c>
      <c r="B33" s="12" t="s">
        <v>222</v>
      </c>
      <c r="C33" s="13"/>
      <c r="D33" s="12"/>
      <c r="E33" s="12"/>
      <c r="F33" s="12"/>
      <c r="G33" s="12"/>
    </row>
    <row r="34" customFormat="false" ht="12.8" hidden="false" customHeight="false" outlineLevel="0" collapsed="false">
      <c r="A34" s="12" t="s">
        <v>136</v>
      </c>
      <c r="B34" s="12" t="s">
        <v>213</v>
      </c>
      <c r="C34" s="12"/>
      <c r="D34" s="12"/>
      <c r="E34" s="12"/>
      <c r="F34" s="12"/>
      <c r="G34" s="12"/>
    </row>
    <row r="35" customFormat="false" ht="12.8" hidden="false" customHeight="false" outlineLevel="0" collapsed="false">
      <c r="A35" s="12" t="s">
        <v>138</v>
      </c>
      <c r="B35" s="12" t="s">
        <v>139</v>
      </c>
      <c r="C35" s="12"/>
      <c r="D35" s="12"/>
      <c r="E35" s="12"/>
      <c r="F35" s="12"/>
      <c r="G35" s="12"/>
    </row>
    <row r="36" customFormat="false" ht="12.8" hidden="false" customHeight="false" outlineLevel="0" collapsed="false">
      <c r="A36" s="12" t="s">
        <v>140</v>
      </c>
      <c r="B36" s="12" t="n">
        <v>1</v>
      </c>
      <c r="C36" s="12"/>
      <c r="D36" s="12"/>
      <c r="E36" s="12"/>
      <c r="F36" s="12"/>
      <c r="G36" s="12"/>
    </row>
    <row r="37" customFormat="false" ht="12.8" hidden="false" customHeight="false" outlineLevel="0" collapsed="false">
      <c r="A37" s="12" t="s">
        <v>141</v>
      </c>
      <c r="B37" s="12" t="s">
        <v>142</v>
      </c>
      <c r="C37" s="12"/>
      <c r="D37" s="12"/>
      <c r="E37" s="12"/>
      <c r="F37" s="12"/>
      <c r="G37" s="12"/>
    </row>
    <row r="38" customFormat="false" ht="12.8" hidden="false" customHeight="false" outlineLevel="0" collapsed="false">
      <c r="A38" s="12" t="s">
        <v>143</v>
      </c>
      <c r="B38" s="12" t="s">
        <v>173</v>
      </c>
      <c r="C38" s="12"/>
      <c r="D38" s="12"/>
      <c r="E38" s="12"/>
      <c r="F38" s="12"/>
      <c r="G38" s="12"/>
    </row>
    <row r="39" customFormat="false" ht="12.8" hidden="false" customHeight="false" outlineLevel="0" collapsed="false">
      <c r="A39" s="12" t="s">
        <v>214</v>
      </c>
      <c r="B39" s="12" t="n">
        <v>100</v>
      </c>
      <c r="C39" s="12"/>
      <c r="D39" s="12"/>
      <c r="E39" s="12"/>
      <c r="F39" s="12"/>
      <c r="G39" s="12"/>
    </row>
    <row r="40" customFormat="false" ht="15" hidden="false" customHeight="false" outlineLevel="0" collapsed="false">
      <c r="A40" s="14" t="s">
        <v>144</v>
      </c>
      <c r="B40" s="12"/>
      <c r="C40" s="12"/>
      <c r="D40" s="12"/>
      <c r="E40" s="12"/>
      <c r="F40" s="12"/>
      <c r="G40" s="12"/>
    </row>
    <row r="41" customFormat="false" ht="15" hidden="false" customHeight="false" outlineLevel="0" collapsed="false">
      <c r="A41" s="14" t="s">
        <v>145</v>
      </c>
      <c r="B41" s="14" t="s">
        <v>146</v>
      </c>
      <c r="C41" s="14" t="s">
        <v>143</v>
      </c>
      <c r="D41" s="14" t="s">
        <v>147</v>
      </c>
      <c r="E41" s="14" t="s">
        <v>133</v>
      </c>
      <c r="F41" s="14" t="s">
        <v>138</v>
      </c>
      <c r="G41" s="14" t="s">
        <v>141</v>
      </c>
      <c r="H41" s="15" t="s">
        <v>148</v>
      </c>
      <c r="I41" s="15" t="s">
        <v>149</v>
      </c>
      <c r="J41" s="15" t="s">
        <v>150</v>
      </c>
      <c r="K41" s="15" t="s">
        <v>151</v>
      </c>
      <c r="L41" s="15" t="s">
        <v>152</v>
      </c>
      <c r="M41" s="15" t="s">
        <v>153</v>
      </c>
    </row>
    <row r="42" customFormat="false" ht="12.8" hidden="false" customHeight="false" outlineLevel="0" collapsed="false">
      <c r="A42" s="17" t="s">
        <v>175</v>
      </c>
      <c r="B42" s="12" t="n">
        <v>1</v>
      </c>
      <c r="C42" s="12" t="s">
        <v>173</v>
      </c>
      <c r="D42" s="12" t="str">
        <f aca="false">Projects!$B$2</f>
        <v>archetypes_metabo</v>
      </c>
      <c r="F42" s="17" t="s">
        <v>139</v>
      </c>
      <c r="G42" s="1" t="s">
        <v>154</v>
      </c>
    </row>
    <row r="43" customFormat="false" ht="12.8" hidden="false" customHeight="false" outlineLevel="0" collapsed="false">
      <c r="A43" s="1" t="s">
        <v>223</v>
      </c>
      <c r="B43" s="12" t="n">
        <f aca="false">B36</f>
        <v>1</v>
      </c>
      <c r="C43" s="12" t="s">
        <v>173</v>
      </c>
      <c r="D43" s="17" t="s">
        <v>196</v>
      </c>
      <c r="F43" s="17" t="s">
        <v>197</v>
      </c>
      <c r="G43" s="12" t="s">
        <v>157</v>
      </c>
    </row>
    <row r="44" customFormat="false" ht="35.05" hidden="false" customHeight="false" outlineLevel="0" collapsed="false">
      <c r="A44" s="17" t="s">
        <v>221</v>
      </c>
      <c r="B44" s="12" t="n">
        <f aca="false">-B43</f>
        <v>-1</v>
      </c>
      <c r="C44" s="12" t="s">
        <v>173</v>
      </c>
      <c r="D44" s="17" t="s">
        <v>196</v>
      </c>
      <c r="F44" s="17" t="s">
        <v>218</v>
      </c>
      <c r="G44" s="12" t="s">
        <v>157</v>
      </c>
    </row>
    <row r="45" customFormat="false" ht="12.8" hidden="false" customHeight="false" outlineLevel="0" collapsed="false">
      <c r="F45" s="1"/>
    </row>
    <row r="46" customFormat="false" ht="15" hidden="false" customHeight="false" outlineLevel="0" collapsed="false">
      <c r="A46" s="14" t="s">
        <v>131</v>
      </c>
      <c r="B46" s="14" t="s">
        <v>176</v>
      </c>
      <c r="C46" s="13"/>
      <c r="D46" s="12"/>
      <c r="E46" s="12"/>
      <c r="F46" s="12"/>
      <c r="G46" s="12"/>
    </row>
    <row r="47" customFormat="false" ht="12.8" hidden="false" customHeight="false" outlineLevel="0" collapsed="false">
      <c r="A47" s="12" t="s">
        <v>133</v>
      </c>
      <c r="B47" s="12" t="s">
        <v>168</v>
      </c>
      <c r="C47" s="12"/>
      <c r="D47" s="12"/>
      <c r="E47" s="12"/>
      <c r="F47" s="12"/>
      <c r="G47" s="12"/>
    </row>
    <row r="48" customFormat="false" ht="13.8" hidden="false" customHeight="false" outlineLevel="0" collapsed="false">
      <c r="A48" s="12" t="s">
        <v>135</v>
      </c>
      <c r="B48" s="12" t="s">
        <v>224</v>
      </c>
      <c r="C48" s="13"/>
      <c r="D48" s="12"/>
      <c r="E48" s="12"/>
      <c r="F48" s="12"/>
      <c r="G48" s="12"/>
    </row>
    <row r="49" customFormat="false" ht="12.8" hidden="false" customHeight="false" outlineLevel="0" collapsed="false">
      <c r="A49" s="12" t="s">
        <v>136</v>
      </c>
      <c r="B49" s="12" t="s">
        <v>213</v>
      </c>
      <c r="C49" s="12"/>
      <c r="D49" s="12"/>
      <c r="E49" s="12"/>
      <c r="F49" s="12"/>
      <c r="G49" s="12"/>
    </row>
    <row r="50" customFormat="false" ht="12.8" hidden="false" customHeight="false" outlineLevel="0" collapsed="false">
      <c r="A50" s="12" t="s">
        <v>138</v>
      </c>
      <c r="B50" s="12" t="s">
        <v>139</v>
      </c>
      <c r="C50" s="12"/>
      <c r="D50" s="12"/>
      <c r="E50" s="12"/>
      <c r="F50" s="12"/>
      <c r="G50" s="12"/>
    </row>
    <row r="51" customFormat="false" ht="12.8" hidden="false" customHeight="false" outlineLevel="0" collapsed="false">
      <c r="A51" s="12" t="s">
        <v>140</v>
      </c>
      <c r="B51" s="12" t="n">
        <v>1</v>
      </c>
      <c r="C51" s="12"/>
      <c r="D51" s="12"/>
      <c r="E51" s="12"/>
      <c r="F51" s="12"/>
      <c r="G51" s="12"/>
    </row>
    <row r="52" customFormat="false" ht="12.8" hidden="false" customHeight="false" outlineLevel="0" collapsed="false">
      <c r="A52" s="12" t="s">
        <v>141</v>
      </c>
      <c r="B52" s="12" t="s">
        <v>142</v>
      </c>
      <c r="C52" s="12"/>
      <c r="D52" s="12"/>
      <c r="E52" s="12"/>
      <c r="F52" s="12"/>
      <c r="G52" s="12"/>
    </row>
    <row r="53" customFormat="false" ht="12.8" hidden="false" customHeight="false" outlineLevel="0" collapsed="false">
      <c r="A53" s="12" t="s">
        <v>143</v>
      </c>
      <c r="B53" s="12" t="s">
        <v>173</v>
      </c>
      <c r="C53" s="12"/>
      <c r="D53" s="12"/>
      <c r="E53" s="12"/>
      <c r="F53" s="12"/>
      <c r="G53" s="12"/>
    </row>
    <row r="54" customFormat="false" ht="12.8" hidden="false" customHeight="false" outlineLevel="0" collapsed="false">
      <c r="A54" s="12" t="s">
        <v>214</v>
      </c>
      <c r="B54" s="12" t="n">
        <v>50</v>
      </c>
      <c r="C54" s="12"/>
      <c r="D54" s="12"/>
      <c r="E54" s="12"/>
      <c r="F54" s="12"/>
      <c r="G54" s="12"/>
    </row>
    <row r="55" customFormat="false" ht="15" hidden="false" customHeight="false" outlineLevel="0" collapsed="false">
      <c r="A55" s="14" t="s">
        <v>144</v>
      </c>
      <c r="B55" s="12"/>
      <c r="C55" s="12"/>
      <c r="D55" s="12"/>
      <c r="E55" s="12"/>
      <c r="F55" s="12"/>
      <c r="G55" s="12"/>
    </row>
    <row r="56" customFormat="false" ht="15" hidden="false" customHeight="false" outlineLevel="0" collapsed="false">
      <c r="A56" s="14" t="s">
        <v>145</v>
      </c>
      <c r="B56" s="14" t="s">
        <v>146</v>
      </c>
      <c r="C56" s="14" t="s">
        <v>143</v>
      </c>
      <c r="D56" s="14" t="s">
        <v>147</v>
      </c>
      <c r="E56" s="14" t="s">
        <v>133</v>
      </c>
      <c r="F56" s="14" t="s">
        <v>138</v>
      </c>
      <c r="G56" s="14" t="s">
        <v>141</v>
      </c>
      <c r="H56" s="15" t="s">
        <v>148</v>
      </c>
      <c r="I56" s="15" t="s">
        <v>149</v>
      </c>
      <c r="J56" s="15" t="s">
        <v>150</v>
      </c>
      <c r="K56" s="15" t="s">
        <v>151</v>
      </c>
      <c r="L56" s="15" t="s">
        <v>152</v>
      </c>
      <c r="M56" s="15" t="s">
        <v>153</v>
      </c>
    </row>
    <row r="57" customFormat="false" ht="12.8" hidden="false" customHeight="false" outlineLevel="0" collapsed="false">
      <c r="A57" s="17" t="s">
        <v>176</v>
      </c>
      <c r="B57" s="12" t="n">
        <v>1</v>
      </c>
      <c r="C57" s="12" t="s">
        <v>173</v>
      </c>
      <c r="D57" s="12" t="str">
        <f aca="false">Projects!$B$2</f>
        <v>archetypes_metabo</v>
      </c>
      <c r="F57" s="17" t="s">
        <v>139</v>
      </c>
      <c r="G57" s="1" t="s">
        <v>154</v>
      </c>
    </row>
    <row r="58" customFormat="false" ht="12.8" hidden="false" customHeight="false" outlineLevel="0" collapsed="false">
      <c r="A58" s="1" t="s">
        <v>223</v>
      </c>
      <c r="B58" s="12" t="n">
        <f aca="false">B51</f>
        <v>1</v>
      </c>
      <c r="C58" s="12" t="s">
        <v>173</v>
      </c>
      <c r="D58" s="17" t="s">
        <v>196</v>
      </c>
      <c r="F58" s="17" t="s">
        <v>197</v>
      </c>
      <c r="G58" s="12" t="s">
        <v>157</v>
      </c>
    </row>
    <row r="59" customFormat="false" ht="35.05" hidden="false" customHeight="false" outlineLevel="0" collapsed="false">
      <c r="A59" s="17" t="s">
        <v>221</v>
      </c>
      <c r="B59" s="12" t="n">
        <f aca="false">-B58</f>
        <v>-1</v>
      </c>
      <c r="C59" s="12" t="s">
        <v>173</v>
      </c>
      <c r="D59" s="17" t="s">
        <v>196</v>
      </c>
      <c r="F59" s="17" t="s">
        <v>218</v>
      </c>
      <c r="G59" s="12" t="s">
        <v>157</v>
      </c>
    </row>
    <row r="60" customFormat="false" ht="12.8" hidden="false" customHeight="false" outlineLevel="0" collapsed="false">
      <c r="F60" s="1"/>
    </row>
    <row r="61" customFormat="false" ht="15" hidden="false" customHeight="false" outlineLevel="0" collapsed="false">
      <c r="A61" s="14" t="s">
        <v>131</v>
      </c>
      <c r="B61" s="14" t="s">
        <v>177</v>
      </c>
      <c r="C61" s="13"/>
      <c r="D61" s="12"/>
      <c r="E61" s="12"/>
      <c r="F61" s="12"/>
      <c r="G61" s="12"/>
    </row>
    <row r="62" customFormat="false" ht="12.8" hidden="false" customHeight="false" outlineLevel="0" collapsed="false">
      <c r="A62" s="12" t="s">
        <v>133</v>
      </c>
      <c r="B62" s="12" t="s">
        <v>168</v>
      </c>
      <c r="C62" s="12"/>
      <c r="D62" s="12"/>
      <c r="E62" s="12"/>
      <c r="F62" s="12"/>
      <c r="G62" s="12"/>
    </row>
    <row r="63" customFormat="false" ht="13.8" hidden="false" customHeight="false" outlineLevel="0" collapsed="false">
      <c r="A63" s="12" t="s">
        <v>135</v>
      </c>
      <c r="B63" s="12" t="s">
        <v>225</v>
      </c>
      <c r="C63" s="13"/>
      <c r="D63" s="12"/>
      <c r="E63" s="12"/>
      <c r="F63" s="12"/>
      <c r="G63" s="12"/>
    </row>
    <row r="64" customFormat="false" ht="12.8" hidden="false" customHeight="false" outlineLevel="0" collapsed="false">
      <c r="A64" s="12" t="s">
        <v>136</v>
      </c>
      <c r="B64" s="12" t="s">
        <v>213</v>
      </c>
      <c r="C64" s="12"/>
      <c r="D64" s="12"/>
      <c r="E64" s="12"/>
      <c r="F64" s="12"/>
      <c r="G64" s="12"/>
    </row>
    <row r="65" customFormat="false" ht="12.8" hidden="false" customHeight="false" outlineLevel="0" collapsed="false">
      <c r="A65" s="12" t="s">
        <v>138</v>
      </c>
      <c r="B65" s="12" t="s">
        <v>139</v>
      </c>
      <c r="C65" s="12"/>
      <c r="D65" s="12"/>
      <c r="E65" s="12"/>
      <c r="F65" s="12"/>
      <c r="G65" s="12"/>
    </row>
    <row r="66" customFormat="false" ht="12.8" hidden="false" customHeight="false" outlineLevel="0" collapsed="false">
      <c r="A66" s="12" t="s">
        <v>140</v>
      </c>
      <c r="B66" s="12" t="n">
        <v>1</v>
      </c>
      <c r="C66" s="12"/>
      <c r="D66" s="12"/>
      <c r="E66" s="12"/>
      <c r="F66" s="12"/>
      <c r="G66" s="12"/>
    </row>
    <row r="67" customFormat="false" ht="12.8" hidden="false" customHeight="false" outlineLevel="0" collapsed="false">
      <c r="A67" s="12" t="s">
        <v>141</v>
      </c>
      <c r="B67" s="12" t="s">
        <v>142</v>
      </c>
      <c r="C67" s="12"/>
      <c r="D67" s="12"/>
      <c r="E67" s="12"/>
      <c r="F67" s="12"/>
      <c r="G67" s="12"/>
    </row>
    <row r="68" customFormat="false" ht="12.8" hidden="false" customHeight="false" outlineLevel="0" collapsed="false">
      <c r="A68" s="12" t="s">
        <v>143</v>
      </c>
      <c r="B68" s="12" t="s">
        <v>173</v>
      </c>
      <c r="C68" s="12"/>
      <c r="D68" s="12"/>
      <c r="E68" s="12"/>
      <c r="F68" s="12"/>
      <c r="G68" s="12"/>
    </row>
    <row r="69" customFormat="false" ht="12.8" hidden="false" customHeight="false" outlineLevel="0" collapsed="false">
      <c r="A69" s="12" t="s">
        <v>214</v>
      </c>
      <c r="B69" s="12" t="n">
        <v>50</v>
      </c>
      <c r="C69" s="12"/>
      <c r="D69" s="12"/>
      <c r="E69" s="12"/>
      <c r="F69" s="12"/>
      <c r="G69" s="12"/>
    </row>
    <row r="70" customFormat="false" ht="15" hidden="false" customHeight="false" outlineLevel="0" collapsed="false">
      <c r="A70" s="14" t="s">
        <v>144</v>
      </c>
      <c r="B70" s="12"/>
      <c r="C70" s="12"/>
      <c r="D70" s="12"/>
      <c r="E70" s="12"/>
      <c r="F70" s="12"/>
      <c r="G70" s="12"/>
    </row>
    <row r="71" customFormat="false" ht="15" hidden="false" customHeight="false" outlineLevel="0" collapsed="false">
      <c r="A71" s="14" t="s">
        <v>145</v>
      </c>
      <c r="B71" s="14" t="s">
        <v>146</v>
      </c>
      <c r="C71" s="14" t="s">
        <v>143</v>
      </c>
      <c r="D71" s="14" t="s">
        <v>147</v>
      </c>
      <c r="E71" s="14" t="s">
        <v>133</v>
      </c>
      <c r="F71" s="14" t="s">
        <v>138</v>
      </c>
      <c r="G71" s="14" t="s">
        <v>141</v>
      </c>
      <c r="H71" s="15" t="s">
        <v>148</v>
      </c>
      <c r="I71" s="15" t="s">
        <v>149</v>
      </c>
      <c r="J71" s="15" t="s">
        <v>150</v>
      </c>
      <c r="K71" s="15" t="s">
        <v>151</v>
      </c>
      <c r="L71" s="15" t="s">
        <v>152</v>
      </c>
      <c r="M71" s="15" t="s">
        <v>153</v>
      </c>
    </row>
    <row r="72" customFormat="false" ht="12.8" hidden="false" customHeight="false" outlineLevel="0" collapsed="false">
      <c r="A72" s="17" t="s">
        <v>177</v>
      </c>
      <c r="B72" s="12" t="n">
        <v>1</v>
      </c>
      <c r="C72" s="12" t="s">
        <v>173</v>
      </c>
      <c r="D72" s="12" t="str">
        <f aca="false">Projects!$B$2</f>
        <v>archetypes_metabo</v>
      </c>
      <c r="F72" s="17" t="s">
        <v>139</v>
      </c>
      <c r="G72" s="1" t="s">
        <v>154</v>
      </c>
    </row>
    <row r="73" customFormat="false" ht="23.85" hidden="false" customHeight="false" outlineLevel="0" collapsed="false">
      <c r="A73" s="17" t="s">
        <v>226</v>
      </c>
      <c r="B73" s="12" t="n">
        <f aca="false">B66</f>
        <v>1</v>
      </c>
      <c r="C73" s="12" t="s">
        <v>173</v>
      </c>
      <c r="D73" s="17" t="s">
        <v>196</v>
      </c>
      <c r="F73" s="17" t="s">
        <v>199</v>
      </c>
      <c r="G73" s="12" t="s">
        <v>157</v>
      </c>
    </row>
    <row r="74" customFormat="false" ht="35.05" hidden="false" customHeight="false" outlineLevel="0" collapsed="false">
      <c r="A74" s="17" t="s">
        <v>227</v>
      </c>
      <c r="B74" s="12" t="n">
        <f aca="false">-B73</f>
        <v>-1</v>
      </c>
      <c r="C74" s="12" t="s">
        <v>173</v>
      </c>
      <c r="D74" s="17" t="s">
        <v>196</v>
      </c>
      <c r="F74" s="17" t="s">
        <v>205</v>
      </c>
      <c r="G74" s="12" t="s">
        <v>157</v>
      </c>
    </row>
    <row r="75" customFormat="false" ht="12.8" hidden="false" customHeight="false" outlineLevel="0" collapsed="false">
      <c r="F75" s="1"/>
    </row>
    <row r="76" customFormat="false" ht="15" hidden="false" customHeight="false" outlineLevel="0" collapsed="false">
      <c r="A76" s="14" t="s">
        <v>131</v>
      </c>
      <c r="B76" s="14" t="s">
        <v>178</v>
      </c>
      <c r="C76" s="13"/>
      <c r="D76" s="12"/>
      <c r="E76" s="12"/>
      <c r="F76" s="12"/>
      <c r="G76" s="12"/>
    </row>
    <row r="77" customFormat="false" ht="12.8" hidden="false" customHeight="false" outlineLevel="0" collapsed="false">
      <c r="A77" s="12" t="s">
        <v>133</v>
      </c>
      <c r="B77" s="12" t="s">
        <v>168</v>
      </c>
      <c r="C77" s="12"/>
      <c r="D77" s="12"/>
      <c r="E77" s="12"/>
      <c r="F77" s="12"/>
      <c r="G77" s="12"/>
    </row>
    <row r="78" customFormat="false" ht="13.8" hidden="false" customHeight="false" outlineLevel="0" collapsed="false">
      <c r="A78" s="12" t="s">
        <v>135</v>
      </c>
      <c r="B78" s="12" t="s">
        <v>228</v>
      </c>
      <c r="C78" s="13"/>
      <c r="D78" s="12"/>
      <c r="E78" s="12"/>
      <c r="F78" s="12"/>
      <c r="G78" s="12"/>
    </row>
    <row r="79" customFormat="false" ht="12.8" hidden="false" customHeight="false" outlineLevel="0" collapsed="false">
      <c r="A79" s="12" t="s">
        <v>136</v>
      </c>
      <c r="B79" s="12" t="s">
        <v>213</v>
      </c>
      <c r="C79" s="12"/>
      <c r="D79" s="12"/>
      <c r="E79" s="12"/>
      <c r="F79" s="12"/>
      <c r="G79" s="12"/>
    </row>
    <row r="80" customFormat="false" ht="12.8" hidden="false" customHeight="false" outlineLevel="0" collapsed="false">
      <c r="A80" s="12" t="s">
        <v>138</v>
      </c>
      <c r="B80" s="12" t="s">
        <v>139</v>
      </c>
      <c r="C80" s="12"/>
      <c r="D80" s="12"/>
      <c r="E80" s="12"/>
      <c r="F80" s="12"/>
      <c r="G80" s="12"/>
    </row>
    <row r="81" customFormat="false" ht="12.8" hidden="false" customHeight="false" outlineLevel="0" collapsed="false">
      <c r="A81" s="12" t="s">
        <v>140</v>
      </c>
      <c r="B81" s="12" t="n">
        <v>1</v>
      </c>
      <c r="C81" s="12"/>
      <c r="D81" s="12"/>
      <c r="E81" s="12"/>
      <c r="F81" s="12"/>
      <c r="G81" s="12"/>
    </row>
    <row r="82" customFormat="false" ht="12.8" hidden="false" customHeight="false" outlineLevel="0" collapsed="false">
      <c r="A82" s="12" t="s">
        <v>141</v>
      </c>
      <c r="B82" s="12" t="s">
        <v>142</v>
      </c>
      <c r="C82" s="12"/>
      <c r="D82" s="12"/>
      <c r="E82" s="12"/>
      <c r="F82" s="12"/>
      <c r="G82" s="12"/>
    </row>
    <row r="83" customFormat="false" ht="12.8" hidden="false" customHeight="false" outlineLevel="0" collapsed="false">
      <c r="A83" s="12" t="s">
        <v>143</v>
      </c>
      <c r="B83" s="12" t="s">
        <v>173</v>
      </c>
      <c r="C83" s="12"/>
      <c r="D83" s="12"/>
      <c r="E83" s="12"/>
      <c r="F83" s="12"/>
      <c r="G83" s="12"/>
    </row>
    <row r="84" customFormat="false" ht="12.8" hidden="false" customHeight="false" outlineLevel="0" collapsed="false">
      <c r="A84" s="12" t="s">
        <v>214</v>
      </c>
      <c r="B84" s="12" t="n">
        <v>50</v>
      </c>
      <c r="C84" s="12"/>
      <c r="D84" s="12"/>
      <c r="E84" s="12"/>
      <c r="F84" s="12"/>
      <c r="G84" s="12"/>
    </row>
    <row r="85" customFormat="false" ht="15" hidden="false" customHeight="false" outlineLevel="0" collapsed="false">
      <c r="A85" s="14" t="s">
        <v>144</v>
      </c>
      <c r="B85" s="12"/>
      <c r="C85" s="12"/>
      <c r="D85" s="12"/>
      <c r="E85" s="12"/>
      <c r="F85" s="12"/>
      <c r="G85" s="12"/>
    </row>
    <row r="86" customFormat="false" ht="15" hidden="false" customHeight="false" outlineLevel="0" collapsed="false">
      <c r="A86" s="14" t="s">
        <v>145</v>
      </c>
      <c r="B86" s="14" t="s">
        <v>146</v>
      </c>
      <c r="C86" s="14" t="s">
        <v>143</v>
      </c>
      <c r="D86" s="14" t="s">
        <v>147</v>
      </c>
      <c r="E86" s="14" t="s">
        <v>133</v>
      </c>
      <c r="F86" s="14" t="s">
        <v>138</v>
      </c>
      <c r="G86" s="14" t="s">
        <v>141</v>
      </c>
      <c r="H86" s="15" t="s">
        <v>148</v>
      </c>
      <c r="I86" s="15" t="s">
        <v>149</v>
      </c>
      <c r="J86" s="15" t="s">
        <v>150</v>
      </c>
      <c r="K86" s="15" t="s">
        <v>151</v>
      </c>
      <c r="L86" s="15" t="s">
        <v>152</v>
      </c>
      <c r="M86" s="15" t="s">
        <v>153</v>
      </c>
    </row>
    <row r="87" customFormat="false" ht="12.8" hidden="false" customHeight="false" outlineLevel="0" collapsed="false">
      <c r="A87" s="17" t="s">
        <v>178</v>
      </c>
      <c r="B87" s="12" t="n">
        <v>1</v>
      </c>
      <c r="C87" s="12" t="s">
        <v>173</v>
      </c>
      <c r="D87" s="12" t="str">
        <f aca="false">Projects!$B$2</f>
        <v>archetypes_metabo</v>
      </c>
      <c r="F87" s="17" t="s">
        <v>139</v>
      </c>
      <c r="G87" s="1" t="s">
        <v>154</v>
      </c>
    </row>
    <row r="88" customFormat="false" ht="12.8" hidden="false" customHeight="false" outlineLevel="0" collapsed="false">
      <c r="A88" s="17" t="s">
        <v>229</v>
      </c>
      <c r="B88" s="12" t="n">
        <f aca="false">B81</f>
        <v>1</v>
      </c>
      <c r="C88" s="12" t="s">
        <v>173</v>
      </c>
      <c r="D88" s="17" t="s">
        <v>196</v>
      </c>
      <c r="F88" s="17" t="s">
        <v>197</v>
      </c>
      <c r="G88" s="12" t="s">
        <v>157</v>
      </c>
    </row>
    <row r="89" customFormat="false" ht="35.05" hidden="false" customHeight="false" outlineLevel="0" collapsed="false">
      <c r="A89" s="17" t="s">
        <v>230</v>
      </c>
      <c r="B89" s="12" t="n">
        <f aca="false">-B88</f>
        <v>-1</v>
      </c>
      <c r="C89" s="12" t="s">
        <v>173</v>
      </c>
      <c r="D89" s="17" t="s">
        <v>196</v>
      </c>
      <c r="F89" s="17" t="s">
        <v>205</v>
      </c>
      <c r="G89" s="12" t="s">
        <v>157</v>
      </c>
    </row>
    <row r="90" customFormat="false" ht="12.8" hidden="false" customHeight="false" outlineLevel="0" collapsed="false">
      <c r="F90" s="1"/>
    </row>
    <row r="91" customFormat="false" ht="15" hidden="false" customHeight="false" outlineLevel="0" collapsed="false">
      <c r="A91" s="14" t="s">
        <v>131</v>
      </c>
      <c r="B91" s="14" t="s">
        <v>179</v>
      </c>
      <c r="C91" s="13"/>
      <c r="D91" s="12"/>
      <c r="E91" s="12"/>
      <c r="F91" s="12"/>
      <c r="G91" s="12"/>
    </row>
    <row r="92" customFormat="false" ht="12.8" hidden="false" customHeight="false" outlineLevel="0" collapsed="false">
      <c r="A92" s="12" t="s">
        <v>133</v>
      </c>
      <c r="B92" s="12" t="s">
        <v>168</v>
      </c>
      <c r="C92" s="12"/>
      <c r="D92" s="12"/>
      <c r="E92" s="12"/>
      <c r="F92" s="12"/>
      <c r="G92" s="12"/>
    </row>
    <row r="93" customFormat="false" ht="13.8" hidden="false" customHeight="false" outlineLevel="0" collapsed="false">
      <c r="A93" s="12" t="s">
        <v>135</v>
      </c>
      <c r="B93" s="12" t="s">
        <v>231</v>
      </c>
      <c r="C93" s="13"/>
      <c r="D93" s="12"/>
      <c r="E93" s="12"/>
      <c r="F93" s="12"/>
      <c r="G93" s="12"/>
    </row>
    <row r="94" customFormat="false" ht="12.8" hidden="false" customHeight="false" outlineLevel="0" collapsed="false">
      <c r="A94" s="12" t="s">
        <v>136</v>
      </c>
      <c r="B94" s="12" t="s">
        <v>213</v>
      </c>
      <c r="C94" s="12"/>
      <c r="D94" s="12"/>
      <c r="E94" s="12"/>
      <c r="F94" s="12"/>
      <c r="G94" s="12"/>
    </row>
    <row r="95" customFormat="false" ht="12.8" hidden="false" customHeight="false" outlineLevel="0" collapsed="false">
      <c r="A95" s="12" t="s">
        <v>138</v>
      </c>
      <c r="B95" s="12" t="s">
        <v>139</v>
      </c>
      <c r="C95" s="12"/>
      <c r="D95" s="12"/>
      <c r="E95" s="12"/>
      <c r="F95" s="12"/>
      <c r="G95" s="12"/>
    </row>
    <row r="96" customFormat="false" ht="12.8" hidden="false" customHeight="false" outlineLevel="0" collapsed="false">
      <c r="A96" s="12" t="s">
        <v>140</v>
      </c>
      <c r="B96" s="12" t="n">
        <v>1</v>
      </c>
      <c r="C96" s="12"/>
      <c r="D96" s="12"/>
      <c r="E96" s="12"/>
      <c r="F96" s="12"/>
      <c r="G96" s="12"/>
    </row>
    <row r="97" customFormat="false" ht="12.8" hidden="false" customHeight="false" outlineLevel="0" collapsed="false">
      <c r="A97" s="12" t="s">
        <v>141</v>
      </c>
      <c r="B97" s="12" t="s">
        <v>142</v>
      </c>
      <c r="C97" s="12"/>
      <c r="D97" s="12"/>
      <c r="E97" s="12"/>
      <c r="F97" s="12"/>
      <c r="G97" s="12"/>
    </row>
    <row r="98" customFormat="false" ht="12.8" hidden="false" customHeight="false" outlineLevel="0" collapsed="false">
      <c r="A98" s="12" t="s">
        <v>143</v>
      </c>
      <c r="B98" s="12" t="s">
        <v>173</v>
      </c>
      <c r="C98" s="12"/>
      <c r="D98" s="12"/>
      <c r="E98" s="12"/>
      <c r="F98" s="12"/>
      <c r="G98" s="12"/>
    </row>
    <row r="99" customFormat="false" ht="12.8" hidden="false" customHeight="false" outlineLevel="0" collapsed="false">
      <c r="A99" s="12" t="s">
        <v>214</v>
      </c>
      <c r="B99" s="12" t="n">
        <v>50</v>
      </c>
      <c r="C99" s="12"/>
      <c r="D99" s="12"/>
      <c r="E99" s="12"/>
      <c r="F99" s="12"/>
      <c r="G99" s="12"/>
    </row>
    <row r="100" customFormat="false" ht="15" hidden="false" customHeight="false" outlineLevel="0" collapsed="false">
      <c r="A100" s="14" t="s">
        <v>144</v>
      </c>
      <c r="B100" s="12"/>
      <c r="C100" s="12"/>
      <c r="D100" s="12"/>
      <c r="E100" s="12"/>
      <c r="F100" s="12"/>
      <c r="G100" s="12"/>
    </row>
    <row r="101" customFormat="false" ht="15" hidden="false" customHeight="false" outlineLevel="0" collapsed="false">
      <c r="A101" s="14" t="s">
        <v>145</v>
      </c>
      <c r="B101" s="14" t="s">
        <v>146</v>
      </c>
      <c r="C101" s="14" t="s">
        <v>143</v>
      </c>
      <c r="D101" s="14" t="s">
        <v>147</v>
      </c>
      <c r="E101" s="14" t="s">
        <v>133</v>
      </c>
      <c r="F101" s="14" t="s">
        <v>138</v>
      </c>
      <c r="G101" s="14" t="s">
        <v>141</v>
      </c>
      <c r="H101" s="15" t="s">
        <v>148</v>
      </c>
      <c r="I101" s="15" t="s">
        <v>149</v>
      </c>
      <c r="J101" s="15" t="s">
        <v>150</v>
      </c>
      <c r="K101" s="15" t="s">
        <v>151</v>
      </c>
      <c r="L101" s="15" t="s">
        <v>152</v>
      </c>
      <c r="M101" s="15" t="s">
        <v>153</v>
      </c>
    </row>
    <row r="102" customFormat="false" ht="12.8" hidden="false" customHeight="false" outlineLevel="0" collapsed="false">
      <c r="A102" s="17" t="s">
        <v>179</v>
      </c>
      <c r="B102" s="12" t="n">
        <v>1</v>
      </c>
      <c r="C102" s="12" t="s">
        <v>173</v>
      </c>
      <c r="D102" s="12" t="str">
        <f aca="false">Projects!$B$2</f>
        <v>archetypes_metabo</v>
      </c>
      <c r="F102" s="17" t="s">
        <v>139</v>
      </c>
      <c r="G102" s="1" t="s">
        <v>154</v>
      </c>
    </row>
    <row r="103" customFormat="false" ht="23.85" hidden="false" customHeight="false" outlineLevel="0" collapsed="false">
      <c r="A103" s="17" t="s">
        <v>232</v>
      </c>
      <c r="B103" s="12" t="n">
        <f aca="false">B96</f>
        <v>1</v>
      </c>
      <c r="C103" s="12" t="s">
        <v>173</v>
      </c>
      <c r="D103" s="17" t="s">
        <v>196</v>
      </c>
      <c r="F103" s="17" t="s">
        <v>197</v>
      </c>
      <c r="G103" s="12" t="s">
        <v>157</v>
      </c>
    </row>
    <row r="104" customFormat="false" ht="23.85" hidden="false" customHeight="false" outlineLevel="0" collapsed="false">
      <c r="A104" s="17" t="s">
        <v>233</v>
      </c>
      <c r="B104" s="12" t="n">
        <f aca="false">-B102</f>
        <v>-1</v>
      </c>
      <c r="C104" s="12" t="s">
        <v>173</v>
      </c>
      <c r="D104" s="17" t="s">
        <v>196</v>
      </c>
      <c r="F104" s="17" t="s">
        <v>139</v>
      </c>
      <c r="G104" s="12" t="s">
        <v>157</v>
      </c>
    </row>
    <row r="105" customFormat="false" ht="12.8" hidden="false" customHeight="false" outlineLevel="0" collapsed="false">
      <c r="F105" s="1"/>
    </row>
    <row r="106" customFormat="false" ht="15" hidden="false" customHeight="false" outlineLevel="0" collapsed="false">
      <c r="A106" s="14" t="s">
        <v>131</v>
      </c>
      <c r="B106" s="14" t="s">
        <v>180</v>
      </c>
      <c r="C106" s="13"/>
      <c r="D106" s="12"/>
      <c r="E106" s="12"/>
      <c r="F106" s="12"/>
      <c r="G106" s="12"/>
    </row>
    <row r="107" customFormat="false" ht="12.8" hidden="false" customHeight="false" outlineLevel="0" collapsed="false">
      <c r="A107" s="12" t="s">
        <v>133</v>
      </c>
      <c r="B107" s="12" t="s">
        <v>168</v>
      </c>
      <c r="C107" s="12"/>
      <c r="D107" s="12"/>
      <c r="E107" s="12"/>
      <c r="F107" s="12"/>
      <c r="G107" s="12"/>
    </row>
    <row r="108" customFormat="false" ht="13.8" hidden="false" customHeight="false" outlineLevel="0" collapsed="false">
      <c r="A108" s="12" t="s">
        <v>135</v>
      </c>
      <c r="B108" s="12" t="s">
        <v>234</v>
      </c>
      <c r="C108" s="13"/>
      <c r="D108" s="12"/>
      <c r="E108" s="12"/>
      <c r="F108" s="12"/>
      <c r="G108" s="12"/>
    </row>
    <row r="109" customFormat="false" ht="12.8" hidden="false" customHeight="false" outlineLevel="0" collapsed="false">
      <c r="A109" s="12" t="s">
        <v>136</v>
      </c>
      <c r="B109" s="12" t="s">
        <v>213</v>
      </c>
      <c r="C109" s="12"/>
      <c r="D109" s="12"/>
      <c r="E109" s="12"/>
      <c r="F109" s="12"/>
      <c r="G109" s="12"/>
    </row>
    <row r="110" customFormat="false" ht="12.8" hidden="false" customHeight="false" outlineLevel="0" collapsed="false">
      <c r="A110" s="12" t="s">
        <v>138</v>
      </c>
      <c r="B110" s="12" t="s">
        <v>139</v>
      </c>
      <c r="C110" s="12"/>
      <c r="D110" s="12"/>
      <c r="E110" s="12"/>
      <c r="F110" s="12"/>
      <c r="G110" s="12"/>
    </row>
    <row r="111" customFormat="false" ht="12.8" hidden="false" customHeight="false" outlineLevel="0" collapsed="false">
      <c r="A111" s="12" t="s">
        <v>140</v>
      </c>
      <c r="B111" s="12" t="n">
        <v>1</v>
      </c>
      <c r="C111" s="12"/>
      <c r="D111" s="12"/>
      <c r="E111" s="12"/>
      <c r="F111" s="12"/>
      <c r="G111" s="12"/>
    </row>
    <row r="112" customFormat="false" ht="12.8" hidden="false" customHeight="false" outlineLevel="0" collapsed="false">
      <c r="A112" s="12" t="s">
        <v>141</v>
      </c>
      <c r="B112" s="12" t="s">
        <v>142</v>
      </c>
      <c r="C112" s="12"/>
      <c r="D112" s="12"/>
      <c r="E112" s="12"/>
      <c r="F112" s="12"/>
      <c r="G112" s="12"/>
    </row>
    <row r="113" customFormat="false" ht="12.8" hidden="false" customHeight="false" outlineLevel="0" collapsed="false">
      <c r="A113" s="12" t="s">
        <v>143</v>
      </c>
      <c r="B113" s="12" t="s">
        <v>173</v>
      </c>
      <c r="C113" s="12"/>
      <c r="D113" s="12"/>
      <c r="E113" s="12"/>
      <c r="F113" s="12"/>
      <c r="G113" s="12"/>
    </row>
    <row r="114" customFormat="false" ht="12.8" hidden="false" customHeight="false" outlineLevel="0" collapsed="false">
      <c r="A114" s="12" t="s">
        <v>214</v>
      </c>
      <c r="B114" s="12" t="n">
        <v>100</v>
      </c>
      <c r="C114" s="12"/>
      <c r="D114" s="12"/>
      <c r="E114" s="12"/>
      <c r="F114" s="12"/>
      <c r="G114" s="12"/>
    </row>
    <row r="115" customFormat="false" ht="15" hidden="false" customHeight="false" outlineLevel="0" collapsed="false">
      <c r="A115" s="14" t="s">
        <v>144</v>
      </c>
      <c r="B115" s="12"/>
      <c r="C115" s="12"/>
      <c r="D115" s="12"/>
      <c r="E115" s="12"/>
      <c r="F115" s="12"/>
      <c r="G115" s="12"/>
    </row>
    <row r="116" customFormat="false" ht="15" hidden="false" customHeight="false" outlineLevel="0" collapsed="false">
      <c r="A116" s="14" t="s">
        <v>145</v>
      </c>
      <c r="B116" s="14" t="s">
        <v>146</v>
      </c>
      <c r="C116" s="14" t="s">
        <v>143</v>
      </c>
      <c r="D116" s="14" t="s">
        <v>147</v>
      </c>
      <c r="E116" s="14" t="s">
        <v>133</v>
      </c>
      <c r="F116" s="14" t="s">
        <v>138</v>
      </c>
      <c r="G116" s="14" t="s">
        <v>141</v>
      </c>
      <c r="H116" s="15" t="s">
        <v>148</v>
      </c>
      <c r="I116" s="15" t="s">
        <v>149</v>
      </c>
      <c r="J116" s="15" t="s">
        <v>150</v>
      </c>
      <c r="K116" s="15" t="s">
        <v>151</v>
      </c>
      <c r="L116" s="15" t="s">
        <v>152</v>
      </c>
      <c r="M116" s="15" t="s">
        <v>153</v>
      </c>
    </row>
    <row r="117" customFormat="false" ht="12.8" hidden="false" customHeight="false" outlineLevel="0" collapsed="false">
      <c r="A117" s="17" t="s">
        <v>180</v>
      </c>
      <c r="B117" s="12" t="n">
        <v>1</v>
      </c>
      <c r="C117" s="12" t="s">
        <v>173</v>
      </c>
      <c r="D117" s="12" t="str">
        <f aca="false">Projects!$B$2</f>
        <v>archetypes_metabo</v>
      </c>
      <c r="F117" s="17" t="s">
        <v>139</v>
      </c>
      <c r="G117" s="1" t="s">
        <v>154</v>
      </c>
    </row>
    <row r="118" customFormat="false" ht="23.85" hidden="false" customHeight="false" outlineLevel="0" collapsed="false">
      <c r="A118" s="17" t="s">
        <v>235</v>
      </c>
      <c r="B118" s="12" t="n">
        <f aca="false">B111</f>
        <v>1</v>
      </c>
      <c r="C118" s="12" t="s">
        <v>173</v>
      </c>
      <c r="D118" s="17" t="s">
        <v>196</v>
      </c>
      <c r="F118" s="17" t="s">
        <v>197</v>
      </c>
      <c r="G118" s="12" t="s">
        <v>157</v>
      </c>
    </row>
    <row r="119" customFormat="false" ht="35.05" hidden="false" customHeight="false" outlineLevel="0" collapsed="false">
      <c r="A119" s="17" t="s">
        <v>236</v>
      </c>
      <c r="B119" s="12" t="n">
        <v>-1</v>
      </c>
      <c r="C119" s="12" t="s">
        <v>173</v>
      </c>
      <c r="D119" s="17" t="s">
        <v>196</v>
      </c>
      <c r="F119" s="17" t="s">
        <v>205</v>
      </c>
      <c r="G119" s="12" t="s">
        <v>157</v>
      </c>
    </row>
    <row r="120" customFormat="false" ht="12.8" hidden="false" customHeight="false" outlineLevel="0" collapsed="false">
      <c r="F120" s="1"/>
    </row>
    <row r="121" customFormat="false" ht="15" hidden="false" customHeight="false" outlineLevel="0" collapsed="false">
      <c r="A121" s="14" t="s">
        <v>131</v>
      </c>
      <c r="B121" s="14" t="s">
        <v>181</v>
      </c>
      <c r="C121" s="13"/>
      <c r="D121" s="12"/>
      <c r="E121" s="12"/>
      <c r="F121" s="12"/>
      <c r="G121" s="12"/>
    </row>
    <row r="122" customFormat="false" ht="12.8" hidden="false" customHeight="false" outlineLevel="0" collapsed="false">
      <c r="A122" s="12" t="s">
        <v>133</v>
      </c>
      <c r="B122" s="12" t="s">
        <v>168</v>
      </c>
      <c r="C122" s="12"/>
      <c r="D122" s="12"/>
      <c r="E122" s="12"/>
      <c r="F122" s="12"/>
      <c r="G122" s="12"/>
    </row>
    <row r="123" customFormat="false" ht="13.8" hidden="false" customHeight="false" outlineLevel="0" collapsed="false">
      <c r="A123" s="12" t="s">
        <v>135</v>
      </c>
      <c r="B123" s="12" t="s">
        <v>237</v>
      </c>
      <c r="C123" s="13"/>
      <c r="D123" s="12"/>
      <c r="E123" s="12"/>
      <c r="F123" s="12"/>
      <c r="G123" s="12"/>
    </row>
    <row r="124" customFormat="false" ht="12.8" hidden="false" customHeight="false" outlineLevel="0" collapsed="false">
      <c r="A124" s="12" t="s">
        <v>136</v>
      </c>
      <c r="B124" s="12" t="s">
        <v>213</v>
      </c>
      <c r="C124" s="12"/>
      <c r="D124" s="12"/>
      <c r="E124" s="12"/>
      <c r="F124" s="12"/>
      <c r="G124" s="12"/>
    </row>
    <row r="125" customFormat="false" ht="12.8" hidden="false" customHeight="false" outlineLevel="0" collapsed="false">
      <c r="A125" s="12" t="s">
        <v>138</v>
      </c>
      <c r="B125" s="12" t="s">
        <v>139</v>
      </c>
      <c r="C125" s="12"/>
      <c r="D125" s="12"/>
      <c r="E125" s="12"/>
      <c r="F125" s="12"/>
      <c r="G125" s="12"/>
    </row>
    <row r="126" customFormat="false" ht="12.8" hidden="false" customHeight="false" outlineLevel="0" collapsed="false">
      <c r="A126" s="12" t="s">
        <v>140</v>
      </c>
      <c r="B126" s="12" t="n">
        <v>1</v>
      </c>
      <c r="C126" s="12"/>
      <c r="D126" s="12"/>
      <c r="E126" s="12"/>
      <c r="F126" s="12"/>
      <c r="G126" s="12"/>
    </row>
    <row r="127" customFormat="false" ht="12.8" hidden="false" customHeight="false" outlineLevel="0" collapsed="false">
      <c r="A127" s="12" t="s">
        <v>141</v>
      </c>
      <c r="B127" s="12" t="s">
        <v>142</v>
      </c>
      <c r="C127" s="12"/>
      <c r="D127" s="12"/>
      <c r="E127" s="12"/>
      <c r="F127" s="12"/>
      <c r="G127" s="12"/>
    </row>
    <row r="128" customFormat="false" ht="12.8" hidden="false" customHeight="false" outlineLevel="0" collapsed="false">
      <c r="A128" s="12" t="s">
        <v>143</v>
      </c>
      <c r="B128" s="12" t="s">
        <v>173</v>
      </c>
      <c r="C128" s="12"/>
      <c r="D128" s="12"/>
      <c r="E128" s="12"/>
      <c r="F128" s="12"/>
      <c r="G128" s="12"/>
    </row>
    <row r="129" customFormat="false" ht="12.8" hidden="false" customHeight="false" outlineLevel="0" collapsed="false">
      <c r="A129" s="12" t="s">
        <v>214</v>
      </c>
      <c r="B129" s="12" t="n">
        <v>100</v>
      </c>
      <c r="C129" s="12"/>
      <c r="D129" s="12"/>
      <c r="E129" s="12"/>
      <c r="F129" s="12"/>
      <c r="G129" s="12"/>
    </row>
    <row r="130" customFormat="false" ht="15" hidden="false" customHeight="false" outlineLevel="0" collapsed="false">
      <c r="A130" s="14" t="s">
        <v>144</v>
      </c>
      <c r="B130" s="12"/>
      <c r="C130" s="12"/>
      <c r="D130" s="12"/>
      <c r="E130" s="12"/>
      <c r="F130" s="12"/>
      <c r="G130" s="12"/>
    </row>
    <row r="131" customFormat="false" ht="15" hidden="false" customHeight="false" outlineLevel="0" collapsed="false">
      <c r="A131" s="14" t="s">
        <v>145</v>
      </c>
      <c r="B131" s="14" t="s">
        <v>146</v>
      </c>
      <c r="C131" s="14" t="s">
        <v>143</v>
      </c>
      <c r="D131" s="14" t="s">
        <v>147</v>
      </c>
      <c r="E131" s="14" t="s">
        <v>133</v>
      </c>
      <c r="F131" s="14" t="s">
        <v>138</v>
      </c>
      <c r="G131" s="14" t="s">
        <v>141</v>
      </c>
      <c r="H131" s="15" t="s">
        <v>148</v>
      </c>
      <c r="I131" s="15" t="s">
        <v>149</v>
      </c>
      <c r="J131" s="15" t="s">
        <v>150</v>
      </c>
      <c r="K131" s="15" t="s">
        <v>151</v>
      </c>
      <c r="L131" s="15" t="s">
        <v>152</v>
      </c>
      <c r="M131" s="15" t="s">
        <v>153</v>
      </c>
    </row>
    <row r="132" customFormat="false" ht="12.8" hidden="false" customHeight="false" outlineLevel="0" collapsed="false">
      <c r="A132" s="17" t="s">
        <v>181</v>
      </c>
      <c r="B132" s="12" t="n">
        <v>1</v>
      </c>
      <c r="C132" s="12" t="s">
        <v>173</v>
      </c>
      <c r="D132" s="12" t="str">
        <f aca="false">Projects!$B$2</f>
        <v>archetypes_metabo</v>
      </c>
      <c r="F132" s="17" t="s">
        <v>139</v>
      </c>
      <c r="G132" s="1" t="s">
        <v>154</v>
      </c>
    </row>
    <row r="133" customFormat="false" ht="12.8" hidden="false" customHeight="false" outlineLevel="0" collapsed="false">
      <c r="A133" s="17" t="s">
        <v>238</v>
      </c>
      <c r="B133" s="12" t="n">
        <f aca="false">B126</f>
        <v>1</v>
      </c>
      <c r="C133" s="12" t="s">
        <v>173</v>
      </c>
      <c r="D133" s="17" t="s">
        <v>196</v>
      </c>
      <c r="F133" s="17" t="s">
        <v>197</v>
      </c>
      <c r="G133" s="12" t="s">
        <v>157</v>
      </c>
    </row>
    <row r="134" customFormat="false" ht="23.85" hidden="false" customHeight="false" outlineLevel="0" collapsed="false">
      <c r="A134" s="17" t="s">
        <v>239</v>
      </c>
      <c r="B134" s="12" t="n">
        <v>-1</v>
      </c>
      <c r="C134" s="12" t="s">
        <v>173</v>
      </c>
      <c r="D134" s="17" t="s">
        <v>196</v>
      </c>
      <c r="F134" s="17" t="s">
        <v>197</v>
      </c>
      <c r="G134" s="12" t="s">
        <v>157</v>
      </c>
    </row>
    <row r="135" customFormat="false" ht="12.8" hidden="false" customHeight="false" outlineLevel="0" collapsed="false">
      <c r="F135" s="1"/>
    </row>
    <row r="136" customFormat="false" ht="15" hidden="false" customHeight="false" outlineLevel="0" collapsed="false">
      <c r="A136" s="14" t="s">
        <v>131</v>
      </c>
      <c r="B136" s="14" t="s">
        <v>182</v>
      </c>
      <c r="C136" s="13"/>
      <c r="D136" s="12"/>
      <c r="E136" s="12"/>
      <c r="F136" s="12"/>
      <c r="G136" s="12"/>
    </row>
    <row r="137" customFormat="false" ht="12.8" hidden="false" customHeight="false" outlineLevel="0" collapsed="false">
      <c r="A137" s="12" t="s">
        <v>133</v>
      </c>
      <c r="B137" s="12" t="s">
        <v>168</v>
      </c>
      <c r="C137" s="12"/>
      <c r="D137" s="12"/>
      <c r="E137" s="12"/>
      <c r="F137" s="12"/>
      <c r="G137" s="12"/>
    </row>
    <row r="138" customFormat="false" ht="13.8" hidden="false" customHeight="false" outlineLevel="0" collapsed="false">
      <c r="A138" s="12" t="s">
        <v>135</v>
      </c>
      <c r="B138" s="12" t="s">
        <v>240</v>
      </c>
      <c r="C138" s="13"/>
      <c r="D138" s="12"/>
      <c r="E138" s="12"/>
      <c r="F138" s="12"/>
      <c r="G138" s="12"/>
    </row>
    <row r="139" customFormat="false" ht="12.8" hidden="false" customHeight="false" outlineLevel="0" collapsed="false">
      <c r="A139" s="12" t="s">
        <v>136</v>
      </c>
      <c r="B139" s="12" t="s">
        <v>213</v>
      </c>
      <c r="C139" s="12"/>
      <c r="D139" s="12"/>
      <c r="E139" s="12"/>
      <c r="F139" s="12"/>
      <c r="G139" s="12"/>
    </row>
    <row r="140" customFormat="false" ht="12.8" hidden="false" customHeight="false" outlineLevel="0" collapsed="false">
      <c r="A140" s="12" t="s">
        <v>138</v>
      </c>
      <c r="B140" s="12" t="s">
        <v>139</v>
      </c>
      <c r="C140" s="12"/>
      <c r="D140" s="12"/>
      <c r="E140" s="12"/>
      <c r="F140" s="12"/>
      <c r="G140" s="12"/>
    </row>
    <row r="141" customFormat="false" ht="12.8" hidden="false" customHeight="false" outlineLevel="0" collapsed="false">
      <c r="A141" s="12" t="s">
        <v>140</v>
      </c>
      <c r="B141" s="12" t="n">
        <v>1</v>
      </c>
      <c r="C141" s="12"/>
      <c r="D141" s="12"/>
      <c r="E141" s="12"/>
      <c r="F141" s="12"/>
      <c r="G141" s="12"/>
    </row>
    <row r="142" customFormat="false" ht="12.8" hidden="false" customHeight="false" outlineLevel="0" collapsed="false">
      <c r="A142" s="12" t="s">
        <v>141</v>
      </c>
      <c r="B142" s="12" t="s">
        <v>142</v>
      </c>
      <c r="C142" s="12"/>
      <c r="D142" s="12"/>
      <c r="E142" s="12"/>
      <c r="F142" s="12"/>
      <c r="G142" s="12"/>
    </row>
    <row r="143" customFormat="false" ht="12.8" hidden="false" customHeight="false" outlineLevel="0" collapsed="false">
      <c r="A143" s="12" t="s">
        <v>143</v>
      </c>
      <c r="B143" s="12" t="s">
        <v>173</v>
      </c>
      <c r="C143" s="12"/>
      <c r="D143" s="12"/>
      <c r="E143" s="12"/>
      <c r="F143" s="12"/>
      <c r="G143" s="12"/>
    </row>
    <row r="144" customFormat="false" ht="12.8" hidden="false" customHeight="false" outlineLevel="0" collapsed="false">
      <c r="A144" s="12" t="s">
        <v>214</v>
      </c>
      <c r="B144" s="12" t="n">
        <v>30</v>
      </c>
      <c r="C144" s="12"/>
      <c r="D144" s="12"/>
      <c r="E144" s="12"/>
      <c r="F144" s="12"/>
      <c r="G144" s="12"/>
    </row>
    <row r="145" customFormat="false" ht="15" hidden="false" customHeight="false" outlineLevel="0" collapsed="false">
      <c r="A145" s="14" t="s">
        <v>144</v>
      </c>
      <c r="B145" s="12"/>
      <c r="C145" s="12"/>
      <c r="D145" s="12"/>
      <c r="E145" s="12"/>
      <c r="F145" s="12"/>
      <c r="G145" s="12"/>
    </row>
    <row r="146" customFormat="false" ht="15" hidden="false" customHeight="false" outlineLevel="0" collapsed="false">
      <c r="A146" s="14" t="s">
        <v>145</v>
      </c>
      <c r="B146" s="14" t="s">
        <v>146</v>
      </c>
      <c r="C146" s="14" t="s">
        <v>143</v>
      </c>
      <c r="D146" s="14" t="s">
        <v>147</v>
      </c>
      <c r="E146" s="14" t="s">
        <v>133</v>
      </c>
      <c r="F146" s="14" t="s">
        <v>138</v>
      </c>
      <c r="G146" s="14" t="s">
        <v>141</v>
      </c>
      <c r="H146" s="15" t="s">
        <v>148</v>
      </c>
      <c r="I146" s="15" t="s">
        <v>149</v>
      </c>
      <c r="J146" s="15" t="s">
        <v>150</v>
      </c>
      <c r="K146" s="15" t="s">
        <v>151</v>
      </c>
      <c r="L146" s="15" t="s">
        <v>152</v>
      </c>
      <c r="M146" s="15" t="s">
        <v>153</v>
      </c>
    </row>
    <row r="147" customFormat="false" ht="12.8" hidden="false" customHeight="false" outlineLevel="0" collapsed="false">
      <c r="A147" s="17" t="s">
        <v>182</v>
      </c>
      <c r="B147" s="12" t="n">
        <v>1</v>
      </c>
      <c r="C147" s="12" t="s">
        <v>173</v>
      </c>
      <c r="D147" s="12" t="str">
        <f aca="false">Projects!$B$2</f>
        <v>archetypes_metabo</v>
      </c>
      <c r="F147" s="17" t="s">
        <v>139</v>
      </c>
      <c r="G147" s="1" t="s">
        <v>154</v>
      </c>
    </row>
    <row r="148" customFormat="false" ht="35.05" hidden="false" customHeight="false" outlineLevel="0" collapsed="false">
      <c r="A148" s="17" t="s">
        <v>241</v>
      </c>
      <c r="B148" s="12" t="n">
        <f aca="false">($B$141*Source!B36)/Source!B33</f>
        <v>0.0100591715976331</v>
      </c>
      <c r="C148" s="12" t="s">
        <v>156</v>
      </c>
      <c r="D148" s="17" t="s">
        <v>196</v>
      </c>
      <c r="F148" s="17" t="s">
        <v>197</v>
      </c>
      <c r="G148" s="12" t="s">
        <v>157</v>
      </c>
    </row>
    <row r="149" customFormat="false" ht="35.05" hidden="false" customHeight="false" outlineLevel="0" collapsed="false">
      <c r="A149" s="17" t="s">
        <v>242</v>
      </c>
      <c r="B149" s="12" t="n">
        <f aca="false">($B$141*Source!B37)/Source!B34</f>
        <v>0.00338624338624339</v>
      </c>
      <c r="C149" s="12" t="s">
        <v>156</v>
      </c>
      <c r="D149" s="17" t="s">
        <v>196</v>
      </c>
      <c r="F149" s="17" t="s">
        <v>197</v>
      </c>
      <c r="G149" s="12" t="s">
        <v>157</v>
      </c>
    </row>
    <row r="150" customFormat="false" ht="35.05" hidden="false" customHeight="false" outlineLevel="0" collapsed="false">
      <c r="A150" s="17" t="s">
        <v>243</v>
      </c>
      <c r="B150" s="12" t="n">
        <f aca="false">($B$141*Source!B38)/Source!B35</f>
        <v>0.00211970074812968</v>
      </c>
      <c r="C150" s="12" t="s">
        <v>156</v>
      </c>
      <c r="D150" s="17" t="s">
        <v>196</v>
      </c>
      <c r="F150" s="17" t="s">
        <v>197</v>
      </c>
      <c r="G150" s="12" t="s">
        <v>157</v>
      </c>
    </row>
    <row r="151" customFormat="false" ht="35.05" hidden="false" customHeight="false" outlineLevel="0" collapsed="false">
      <c r="A151" s="22" t="s">
        <v>236</v>
      </c>
      <c r="B151" s="12" t="n">
        <f aca="false">-($B$141*Source!B36)</f>
        <v>-0.51</v>
      </c>
      <c r="C151" s="12" t="s">
        <v>173</v>
      </c>
      <c r="D151" s="17" t="s">
        <v>196</v>
      </c>
      <c r="F151" s="17" t="s">
        <v>205</v>
      </c>
      <c r="G151" s="12" t="s">
        <v>157</v>
      </c>
    </row>
    <row r="152" customFormat="false" ht="23.85" hidden="false" customHeight="false" outlineLevel="0" collapsed="false">
      <c r="A152" s="22" t="s">
        <v>244</v>
      </c>
      <c r="B152" s="12" t="n">
        <f aca="false">-B149</f>
        <v>-0.00338624338624339</v>
      </c>
      <c r="C152" s="12" t="s">
        <v>156</v>
      </c>
      <c r="D152" s="17" t="s">
        <v>196</v>
      </c>
      <c r="F152" s="17" t="s">
        <v>197</v>
      </c>
      <c r="G152" s="12" t="s">
        <v>157</v>
      </c>
    </row>
    <row r="153" customFormat="false" ht="23.85" hidden="false" customHeight="false" outlineLevel="0" collapsed="false">
      <c r="A153" s="17" t="s">
        <v>245</v>
      </c>
      <c r="B153" s="12" t="n">
        <f aca="false">-B150</f>
        <v>-0.00211970074812968</v>
      </c>
      <c r="C153" s="12" t="s">
        <v>156</v>
      </c>
      <c r="D153" s="17" t="s">
        <v>196</v>
      </c>
      <c r="F153" s="17" t="s">
        <v>197</v>
      </c>
      <c r="G153" s="12" t="s">
        <v>157</v>
      </c>
    </row>
    <row r="154" customFormat="false" ht="12.8" hidden="false" customHeight="false" outlineLevel="0" collapsed="false">
      <c r="F154" s="1"/>
    </row>
    <row r="155" customFormat="false" ht="15" hidden="false" customHeight="false" outlineLevel="0" collapsed="false">
      <c r="A155" s="14" t="s">
        <v>131</v>
      </c>
      <c r="B155" s="14" t="s">
        <v>183</v>
      </c>
      <c r="C155" s="13"/>
      <c r="D155" s="12"/>
      <c r="E155" s="12"/>
      <c r="F155" s="12"/>
      <c r="G155" s="12"/>
    </row>
    <row r="156" customFormat="false" ht="12.8" hidden="false" customHeight="false" outlineLevel="0" collapsed="false">
      <c r="A156" s="12" t="s">
        <v>133</v>
      </c>
      <c r="B156" s="12" t="s">
        <v>168</v>
      </c>
      <c r="C156" s="12"/>
      <c r="D156" s="12"/>
      <c r="E156" s="12"/>
      <c r="F156" s="12"/>
      <c r="G156" s="12"/>
    </row>
    <row r="157" customFormat="false" ht="13.8" hidden="false" customHeight="false" outlineLevel="0" collapsed="false">
      <c r="A157" s="12" t="s">
        <v>135</v>
      </c>
      <c r="B157" s="12" t="s">
        <v>246</v>
      </c>
      <c r="C157" s="13"/>
      <c r="D157" s="12"/>
      <c r="E157" s="12"/>
      <c r="F157" s="12"/>
      <c r="G157" s="12"/>
    </row>
    <row r="158" customFormat="false" ht="12.8" hidden="false" customHeight="false" outlineLevel="0" collapsed="false">
      <c r="A158" s="12" t="s">
        <v>136</v>
      </c>
      <c r="B158" s="12" t="s">
        <v>213</v>
      </c>
      <c r="C158" s="12"/>
      <c r="D158" s="12"/>
      <c r="E158" s="12"/>
      <c r="F158" s="12"/>
      <c r="G158" s="12"/>
    </row>
    <row r="159" customFormat="false" ht="12.8" hidden="false" customHeight="false" outlineLevel="0" collapsed="false">
      <c r="A159" s="12" t="s">
        <v>138</v>
      </c>
      <c r="B159" s="12" t="s">
        <v>139</v>
      </c>
      <c r="C159" s="12"/>
      <c r="D159" s="12"/>
      <c r="E159" s="12"/>
      <c r="F159" s="12"/>
      <c r="G159" s="12"/>
    </row>
    <row r="160" customFormat="false" ht="12.8" hidden="false" customHeight="false" outlineLevel="0" collapsed="false">
      <c r="A160" s="12" t="s">
        <v>140</v>
      </c>
      <c r="B160" s="12" t="n">
        <v>1</v>
      </c>
      <c r="C160" s="12"/>
      <c r="D160" s="12"/>
      <c r="E160" s="12"/>
      <c r="F160" s="12"/>
      <c r="G160" s="12"/>
    </row>
    <row r="161" customFormat="false" ht="12.8" hidden="false" customHeight="false" outlineLevel="0" collapsed="false">
      <c r="A161" s="12" t="s">
        <v>141</v>
      </c>
      <c r="B161" s="12" t="s">
        <v>142</v>
      </c>
      <c r="C161" s="12"/>
      <c r="D161" s="12"/>
      <c r="E161" s="12"/>
      <c r="F161" s="12"/>
      <c r="G161" s="12"/>
    </row>
    <row r="162" customFormat="false" ht="12.8" hidden="false" customHeight="false" outlineLevel="0" collapsed="false">
      <c r="A162" s="12" t="s">
        <v>143</v>
      </c>
      <c r="B162" s="12" t="s">
        <v>173</v>
      </c>
      <c r="C162" s="12"/>
      <c r="D162" s="12"/>
      <c r="E162" s="12"/>
      <c r="F162" s="12"/>
      <c r="G162" s="12"/>
    </row>
    <row r="163" customFormat="false" ht="12.8" hidden="false" customHeight="false" outlineLevel="0" collapsed="false">
      <c r="A163" s="12" t="s">
        <v>214</v>
      </c>
      <c r="B163" s="12" t="n">
        <v>100</v>
      </c>
      <c r="C163" s="12"/>
      <c r="D163" s="12"/>
      <c r="E163" s="12"/>
      <c r="F163" s="12"/>
      <c r="G163" s="12"/>
    </row>
    <row r="164" customFormat="false" ht="15" hidden="false" customHeight="false" outlineLevel="0" collapsed="false">
      <c r="A164" s="14" t="s">
        <v>144</v>
      </c>
      <c r="B164" s="12"/>
      <c r="C164" s="12"/>
      <c r="D164" s="12"/>
      <c r="E164" s="12"/>
      <c r="F164" s="12"/>
      <c r="G164" s="12"/>
    </row>
    <row r="165" customFormat="false" ht="15" hidden="false" customHeight="false" outlineLevel="0" collapsed="false">
      <c r="A165" s="14" t="s">
        <v>145</v>
      </c>
      <c r="B165" s="14" t="s">
        <v>146</v>
      </c>
      <c r="C165" s="14" t="s">
        <v>143</v>
      </c>
      <c r="D165" s="14" t="s">
        <v>147</v>
      </c>
      <c r="E165" s="14" t="s">
        <v>133</v>
      </c>
      <c r="F165" s="14" t="s">
        <v>138</v>
      </c>
      <c r="G165" s="14" t="s">
        <v>141</v>
      </c>
      <c r="H165" s="15" t="s">
        <v>148</v>
      </c>
      <c r="I165" s="15" t="s">
        <v>149</v>
      </c>
      <c r="J165" s="15" t="s">
        <v>150</v>
      </c>
      <c r="K165" s="15" t="s">
        <v>151</v>
      </c>
      <c r="L165" s="15" t="s">
        <v>152</v>
      </c>
      <c r="M165" s="15" t="s">
        <v>153</v>
      </c>
    </row>
    <row r="166" customFormat="false" ht="12.8" hidden="false" customHeight="false" outlineLevel="0" collapsed="false">
      <c r="A166" s="17" t="s">
        <v>183</v>
      </c>
      <c r="B166" s="12" t="n">
        <v>1</v>
      </c>
      <c r="C166" s="12" t="s">
        <v>173</v>
      </c>
      <c r="D166" s="12" t="str">
        <f aca="false">Projects!$B$2</f>
        <v>archetypes_metabo</v>
      </c>
      <c r="F166" s="17" t="s">
        <v>139</v>
      </c>
      <c r="G166" s="1" t="s">
        <v>154</v>
      </c>
    </row>
    <row r="167" customFormat="false" ht="23.85" hidden="false" customHeight="false" outlineLevel="0" collapsed="false">
      <c r="A167" s="17" t="s">
        <v>247</v>
      </c>
      <c r="B167" s="12" t="n">
        <f aca="false">B160/Source!B39</f>
        <v>0.00166666666666667</v>
      </c>
      <c r="C167" s="12" t="s">
        <v>186</v>
      </c>
      <c r="D167" s="17" t="s">
        <v>196</v>
      </c>
      <c r="F167" s="17" t="s">
        <v>216</v>
      </c>
      <c r="G167" s="12" t="s">
        <v>157</v>
      </c>
    </row>
    <row r="168" customFormat="false" ht="35.05" hidden="false" customHeight="false" outlineLevel="0" collapsed="false">
      <c r="A168" s="17" t="s">
        <v>248</v>
      </c>
      <c r="B168" s="12" t="n">
        <f aca="false">-B166</f>
        <v>-1</v>
      </c>
      <c r="C168" s="12" t="s">
        <v>173</v>
      </c>
      <c r="D168" s="17" t="s">
        <v>196</v>
      </c>
      <c r="F168" s="17" t="s">
        <v>216</v>
      </c>
      <c r="G168" s="12" t="s">
        <v>157</v>
      </c>
    </row>
    <row r="169" customFormat="false" ht="12.8" hidden="false" customHeight="false" outlineLevel="0" collapsed="false">
      <c r="F169" s="1"/>
    </row>
    <row r="170" customFormat="false" ht="15" hidden="false" customHeight="false" outlineLevel="0" collapsed="false">
      <c r="A170" s="14" t="s">
        <v>131</v>
      </c>
      <c r="B170" s="14" t="s">
        <v>184</v>
      </c>
      <c r="C170" s="13"/>
      <c r="D170" s="12"/>
      <c r="E170" s="12"/>
      <c r="F170" s="12"/>
      <c r="G170" s="12"/>
    </row>
    <row r="171" customFormat="false" ht="12.8" hidden="false" customHeight="false" outlineLevel="0" collapsed="false">
      <c r="A171" s="12" t="s">
        <v>133</v>
      </c>
      <c r="B171" s="12" t="s">
        <v>168</v>
      </c>
      <c r="C171" s="12"/>
      <c r="D171" s="12"/>
      <c r="E171" s="12"/>
      <c r="F171" s="12"/>
      <c r="G171" s="12"/>
    </row>
    <row r="172" customFormat="false" ht="13.8" hidden="false" customHeight="false" outlineLevel="0" collapsed="false">
      <c r="A172" s="12" t="s">
        <v>135</v>
      </c>
      <c r="B172" s="12" t="s">
        <v>249</v>
      </c>
      <c r="C172" s="13"/>
      <c r="D172" s="12"/>
      <c r="E172" s="12"/>
      <c r="F172" s="12"/>
      <c r="G172" s="12"/>
    </row>
    <row r="173" customFormat="false" ht="12.8" hidden="false" customHeight="false" outlineLevel="0" collapsed="false">
      <c r="A173" s="12" t="s">
        <v>136</v>
      </c>
      <c r="B173" s="12" t="s">
        <v>213</v>
      </c>
      <c r="C173" s="12"/>
      <c r="D173" s="12"/>
      <c r="E173" s="12"/>
      <c r="F173" s="12"/>
      <c r="G173" s="12"/>
    </row>
    <row r="174" customFormat="false" ht="12.8" hidden="false" customHeight="false" outlineLevel="0" collapsed="false">
      <c r="A174" s="12" t="s">
        <v>138</v>
      </c>
      <c r="B174" s="12" t="s">
        <v>139</v>
      </c>
      <c r="C174" s="12"/>
      <c r="D174" s="12"/>
      <c r="E174" s="12"/>
      <c r="F174" s="12"/>
      <c r="G174" s="12"/>
    </row>
    <row r="175" customFormat="false" ht="12.8" hidden="false" customHeight="false" outlineLevel="0" collapsed="false">
      <c r="A175" s="12" t="s">
        <v>140</v>
      </c>
      <c r="B175" s="12" t="n">
        <v>1</v>
      </c>
      <c r="C175" s="12"/>
      <c r="D175" s="12"/>
      <c r="E175" s="12"/>
      <c r="F175" s="12"/>
      <c r="G175" s="12"/>
    </row>
    <row r="176" customFormat="false" ht="12.8" hidden="false" customHeight="false" outlineLevel="0" collapsed="false">
      <c r="A176" s="12" t="s">
        <v>141</v>
      </c>
      <c r="B176" s="12" t="s">
        <v>142</v>
      </c>
      <c r="C176" s="12"/>
      <c r="D176" s="12"/>
      <c r="E176" s="12"/>
      <c r="F176" s="12"/>
      <c r="G176" s="12"/>
    </row>
    <row r="177" customFormat="false" ht="12.8" hidden="false" customHeight="false" outlineLevel="0" collapsed="false">
      <c r="A177" s="12" t="s">
        <v>143</v>
      </c>
      <c r="B177" s="12" t="s">
        <v>173</v>
      </c>
      <c r="C177" s="12"/>
      <c r="D177" s="12"/>
      <c r="E177" s="12"/>
      <c r="F177" s="12"/>
      <c r="G177" s="12"/>
    </row>
    <row r="178" customFormat="false" ht="12.8" hidden="false" customHeight="false" outlineLevel="0" collapsed="false">
      <c r="A178" s="12" t="s">
        <v>214</v>
      </c>
      <c r="B178" s="12" t="n">
        <v>20</v>
      </c>
      <c r="C178" s="12"/>
      <c r="D178" s="12"/>
      <c r="E178" s="12"/>
      <c r="F178" s="12"/>
      <c r="G178" s="12"/>
    </row>
    <row r="179" customFormat="false" ht="15" hidden="false" customHeight="false" outlineLevel="0" collapsed="false">
      <c r="A179" s="14" t="s">
        <v>144</v>
      </c>
      <c r="B179" s="12"/>
      <c r="C179" s="12"/>
      <c r="D179" s="12"/>
      <c r="E179" s="12"/>
      <c r="F179" s="12"/>
      <c r="G179" s="12"/>
    </row>
    <row r="180" customFormat="false" ht="15" hidden="false" customHeight="false" outlineLevel="0" collapsed="false">
      <c r="A180" s="14" t="s">
        <v>145</v>
      </c>
      <c r="B180" s="14" t="s">
        <v>146</v>
      </c>
      <c r="C180" s="14" t="s">
        <v>143</v>
      </c>
      <c r="D180" s="14" t="s">
        <v>147</v>
      </c>
      <c r="E180" s="14" t="s">
        <v>133</v>
      </c>
      <c r="F180" s="14" t="s">
        <v>138</v>
      </c>
      <c r="G180" s="14" t="s">
        <v>141</v>
      </c>
      <c r="H180" s="15" t="s">
        <v>148</v>
      </c>
      <c r="I180" s="15" t="s">
        <v>149</v>
      </c>
      <c r="J180" s="15" t="s">
        <v>150</v>
      </c>
      <c r="K180" s="15" t="s">
        <v>151</v>
      </c>
      <c r="L180" s="15" t="s">
        <v>152</v>
      </c>
      <c r="M180" s="15" t="s">
        <v>153</v>
      </c>
    </row>
    <row r="181" customFormat="false" ht="12.8" hidden="false" customHeight="false" outlineLevel="0" collapsed="false">
      <c r="A181" s="17" t="s">
        <v>184</v>
      </c>
      <c r="B181" s="12" t="n">
        <v>1</v>
      </c>
      <c r="C181" s="12" t="s">
        <v>173</v>
      </c>
      <c r="D181" s="12" t="str">
        <f aca="false">Projects!$B$2</f>
        <v>archetypes_metabo</v>
      </c>
      <c r="F181" s="17" t="s">
        <v>139</v>
      </c>
      <c r="G181" s="1" t="s">
        <v>154</v>
      </c>
    </row>
    <row r="182" customFormat="false" ht="23.85" hidden="false" customHeight="false" outlineLevel="0" collapsed="false">
      <c r="A182" s="17" t="s">
        <v>215</v>
      </c>
      <c r="B182" s="12" t="n">
        <f aca="false">B181/Source!B32</f>
        <v>0.0004</v>
      </c>
      <c r="C182" s="12" t="s">
        <v>186</v>
      </c>
      <c r="D182" s="17" t="s">
        <v>196</v>
      </c>
      <c r="F182" s="17" t="s">
        <v>216</v>
      </c>
      <c r="G182" s="12" t="s">
        <v>157</v>
      </c>
    </row>
    <row r="183" customFormat="false" ht="35.05" hidden="false" customHeight="false" outlineLevel="0" collapsed="false">
      <c r="A183" s="17" t="s">
        <v>217</v>
      </c>
      <c r="B183" s="12" t="n">
        <f aca="false">-B181</f>
        <v>-1</v>
      </c>
      <c r="C183" s="12" t="s">
        <v>173</v>
      </c>
      <c r="D183" s="17" t="s">
        <v>196</v>
      </c>
      <c r="F183" s="17" t="s">
        <v>218</v>
      </c>
      <c r="G183" s="12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1" activeCellId="0" sqref="D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8.29"/>
    <col collapsed="false" customWidth="true" hidden="false" outlineLevel="0" max="2" min="2" style="1" width="40.34"/>
  </cols>
  <sheetData>
    <row r="1" customFormat="false" ht="15" hidden="false" customHeight="false" outlineLevel="0" collapsed="false">
      <c r="A1" s="14" t="s">
        <v>131</v>
      </c>
      <c r="B1" s="14" t="s">
        <v>25</v>
      </c>
      <c r="C1" s="13"/>
      <c r="D1" s="12"/>
      <c r="E1" s="12"/>
      <c r="F1" s="12"/>
      <c r="G1" s="12"/>
    </row>
    <row r="2" customFormat="false" ht="12.8" hidden="false" customHeight="false" outlineLevel="0" collapsed="false">
      <c r="A2" s="12" t="s">
        <v>133</v>
      </c>
      <c r="B2" s="12" t="s">
        <v>168</v>
      </c>
      <c r="C2" s="12"/>
      <c r="D2" s="12"/>
      <c r="E2" s="12"/>
      <c r="F2" s="12"/>
      <c r="G2" s="12"/>
    </row>
    <row r="3" customFormat="false" ht="13.8" hidden="false" customHeight="false" outlineLevel="0" collapsed="false">
      <c r="A3" s="12" t="s">
        <v>135</v>
      </c>
      <c r="B3" s="12" t="s">
        <v>250</v>
      </c>
      <c r="C3" s="13"/>
      <c r="D3" s="12"/>
      <c r="E3" s="12"/>
      <c r="F3" s="12"/>
      <c r="G3" s="12"/>
    </row>
    <row r="4" customFormat="false" ht="12.8" hidden="false" customHeight="false" outlineLevel="0" collapsed="false">
      <c r="A4" s="12" t="s">
        <v>136</v>
      </c>
      <c r="B4" s="12" t="s">
        <v>251</v>
      </c>
      <c r="C4" s="12"/>
      <c r="D4" s="12"/>
      <c r="E4" s="12"/>
      <c r="F4" s="12"/>
      <c r="G4" s="12"/>
    </row>
    <row r="5" customFormat="false" ht="12.8" hidden="false" customHeight="false" outlineLevel="0" collapsed="false">
      <c r="A5" s="12" t="s">
        <v>138</v>
      </c>
      <c r="B5" s="12" t="s">
        <v>139</v>
      </c>
      <c r="C5" s="12"/>
      <c r="D5" s="12"/>
      <c r="E5" s="12"/>
      <c r="F5" s="12"/>
      <c r="G5" s="12"/>
    </row>
    <row r="6" customFormat="false" ht="12.8" hidden="false" customHeight="false" outlineLevel="0" collapsed="false">
      <c r="A6" s="12" t="s">
        <v>140</v>
      </c>
      <c r="B6" s="12" t="n">
        <v>1</v>
      </c>
      <c r="C6" s="12"/>
      <c r="D6" s="12"/>
      <c r="E6" s="12"/>
      <c r="F6" s="12"/>
      <c r="G6" s="12"/>
    </row>
    <row r="7" customFormat="false" ht="12.8" hidden="false" customHeight="false" outlineLevel="0" collapsed="false">
      <c r="A7" s="12" t="s">
        <v>141</v>
      </c>
      <c r="B7" s="12" t="s">
        <v>142</v>
      </c>
      <c r="C7" s="12"/>
      <c r="D7" s="12"/>
      <c r="E7" s="12"/>
      <c r="F7" s="12"/>
      <c r="G7" s="12"/>
    </row>
    <row r="8" customFormat="false" ht="12.8" hidden="false" customHeight="false" outlineLevel="0" collapsed="false">
      <c r="A8" s="12" t="s">
        <v>143</v>
      </c>
      <c r="B8" s="12" t="s">
        <v>185</v>
      </c>
      <c r="C8" s="12"/>
      <c r="D8" s="12"/>
      <c r="E8" s="12"/>
      <c r="F8" s="12"/>
      <c r="G8" s="12"/>
    </row>
    <row r="9" customFormat="false" ht="15" hidden="false" customHeight="false" outlineLevel="0" collapsed="false">
      <c r="A9" s="14" t="s">
        <v>144</v>
      </c>
      <c r="B9" s="12"/>
      <c r="C9" s="12"/>
      <c r="D9" s="12"/>
      <c r="E9" s="12"/>
      <c r="F9" s="12"/>
      <c r="G9" s="12"/>
    </row>
    <row r="10" customFormat="false" ht="15" hidden="false" customHeight="false" outlineLevel="0" collapsed="false">
      <c r="A10" s="14" t="s">
        <v>145</v>
      </c>
      <c r="B10" s="14" t="s">
        <v>146</v>
      </c>
      <c r="C10" s="14" t="s">
        <v>143</v>
      </c>
      <c r="D10" s="14" t="s">
        <v>147</v>
      </c>
      <c r="E10" s="14" t="s">
        <v>133</v>
      </c>
      <c r="F10" s="14" t="s">
        <v>138</v>
      </c>
      <c r="G10" s="14" t="s">
        <v>141</v>
      </c>
      <c r="H10" s="15" t="s">
        <v>148</v>
      </c>
      <c r="I10" s="15" t="s">
        <v>149</v>
      </c>
      <c r="J10" s="15" t="s">
        <v>150</v>
      </c>
      <c r="K10" s="15" t="s">
        <v>151</v>
      </c>
      <c r="L10" s="15" t="s">
        <v>152</v>
      </c>
      <c r="M10" s="15" t="s">
        <v>153</v>
      </c>
    </row>
    <row r="11" customFormat="false" ht="12.8" hidden="false" customHeight="false" outlineLevel="0" collapsed="false">
      <c r="A11" s="17" t="s">
        <v>25</v>
      </c>
      <c r="B11" s="12" t="n">
        <v>1</v>
      </c>
      <c r="C11" s="12" t="s">
        <v>185</v>
      </c>
      <c r="D11" s="12" t="str">
        <f aca="false">Projects!$B$2</f>
        <v>archetypes_metabo</v>
      </c>
      <c r="F11" s="17" t="s">
        <v>139</v>
      </c>
      <c r="G11" s="1" t="s">
        <v>154</v>
      </c>
    </row>
    <row r="12" customFormat="false" ht="23.85" hidden="false" customHeight="false" outlineLevel="0" collapsed="false">
      <c r="A12" s="17" t="s">
        <v>252</v>
      </c>
      <c r="B12" s="12" t="n">
        <f aca="false">B6/Source!B41</f>
        <v>0.1</v>
      </c>
      <c r="C12" s="12" t="s">
        <v>186</v>
      </c>
      <c r="D12" s="17" t="s">
        <v>196</v>
      </c>
      <c r="F12" s="17" t="s">
        <v>139</v>
      </c>
      <c r="G12" s="12" t="s">
        <v>157</v>
      </c>
    </row>
    <row r="13" customFormat="false" ht="12.8" hidden="false" customHeight="false" outlineLevel="0" collapsed="false">
      <c r="D13" s="1"/>
      <c r="F13" s="1"/>
      <c r="G13" s="1"/>
    </row>
    <row r="14" customFormat="false" ht="15" hidden="false" customHeight="false" outlineLevel="0" collapsed="false">
      <c r="A14" s="14" t="s">
        <v>131</v>
      </c>
      <c r="B14" s="14" t="s">
        <v>27</v>
      </c>
      <c r="C14" s="13"/>
      <c r="D14" s="12"/>
      <c r="E14" s="12"/>
      <c r="F14" s="12"/>
      <c r="G14" s="12"/>
    </row>
    <row r="15" customFormat="false" ht="12.8" hidden="false" customHeight="false" outlineLevel="0" collapsed="false">
      <c r="A15" s="12" t="s">
        <v>133</v>
      </c>
      <c r="B15" s="12" t="s">
        <v>168</v>
      </c>
      <c r="C15" s="12"/>
      <c r="D15" s="12"/>
      <c r="E15" s="12"/>
      <c r="F15" s="12"/>
      <c r="G15" s="12"/>
    </row>
    <row r="16" customFormat="false" ht="13.8" hidden="false" customHeight="false" outlineLevel="0" collapsed="false">
      <c r="A16" s="12" t="s">
        <v>135</v>
      </c>
      <c r="B16" s="12" t="s">
        <v>253</v>
      </c>
      <c r="C16" s="13"/>
      <c r="D16" s="12"/>
      <c r="E16" s="12"/>
      <c r="F16" s="12"/>
      <c r="G16" s="12"/>
    </row>
    <row r="17" customFormat="false" ht="12.8" hidden="false" customHeight="false" outlineLevel="0" collapsed="false">
      <c r="A17" s="12" t="s">
        <v>136</v>
      </c>
      <c r="B17" s="12" t="s">
        <v>254</v>
      </c>
      <c r="C17" s="12"/>
      <c r="D17" s="12"/>
      <c r="E17" s="12"/>
      <c r="F17" s="12"/>
      <c r="G17" s="12"/>
    </row>
    <row r="18" customFormat="false" ht="12.8" hidden="false" customHeight="false" outlineLevel="0" collapsed="false">
      <c r="A18" s="12" t="s">
        <v>138</v>
      </c>
      <c r="B18" s="12" t="s">
        <v>139</v>
      </c>
      <c r="C18" s="12"/>
      <c r="D18" s="12"/>
      <c r="E18" s="12"/>
      <c r="F18" s="12"/>
      <c r="G18" s="12"/>
    </row>
    <row r="19" customFormat="false" ht="12.8" hidden="false" customHeight="false" outlineLevel="0" collapsed="false">
      <c r="A19" s="12" t="s">
        <v>140</v>
      </c>
      <c r="B19" s="12" t="n">
        <v>1</v>
      </c>
      <c r="C19" s="12"/>
      <c r="D19" s="12"/>
      <c r="E19" s="12"/>
      <c r="F19" s="12"/>
      <c r="G19" s="12"/>
    </row>
    <row r="20" customFormat="false" ht="12.8" hidden="false" customHeight="false" outlineLevel="0" collapsed="false">
      <c r="A20" s="12" t="s">
        <v>141</v>
      </c>
      <c r="B20" s="12" t="s">
        <v>142</v>
      </c>
      <c r="C20" s="12"/>
      <c r="D20" s="12"/>
      <c r="E20" s="12"/>
      <c r="F20" s="12"/>
      <c r="G20" s="12"/>
    </row>
    <row r="21" customFormat="false" ht="12.8" hidden="false" customHeight="false" outlineLevel="0" collapsed="false">
      <c r="A21" s="12" t="s">
        <v>143</v>
      </c>
      <c r="B21" s="12" t="s">
        <v>185</v>
      </c>
      <c r="C21" s="12"/>
      <c r="D21" s="12"/>
      <c r="E21" s="12"/>
      <c r="F21" s="12"/>
      <c r="G21" s="12"/>
    </row>
    <row r="22" customFormat="false" ht="15" hidden="false" customHeight="false" outlineLevel="0" collapsed="false">
      <c r="A22" s="14" t="s">
        <v>144</v>
      </c>
      <c r="B22" s="12"/>
      <c r="C22" s="12"/>
      <c r="D22" s="12"/>
      <c r="E22" s="12"/>
      <c r="F22" s="12"/>
      <c r="G22" s="12"/>
    </row>
    <row r="23" customFormat="false" ht="15" hidden="false" customHeight="false" outlineLevel="0" collapsed="false">
      <c r="A23" s="14" t="s">
        <v>145</v>
      </c>
      <c r="B23" s="14" t="s">
        <v>146</v>
      </c>
      <c r="C23" s="14" t="s">
        <v>143</v>
      </c>
      <c r="D23" s="14" t="s">
        <v>147</v>
      </c>
      <c r="E23" s="14" t="s">
        <v>133</v>
      </c>
      <c r="F23" s="14" t="s">
        <v>138</v>
      </c>
      <c r="G23" s="14" t="s">
        <v>141</v>
      </c>
      <c r="H23" s="15" t="s">
        <v>148</v>
      </c>
      <c r="I23" s="15" t="s">
        <v>149</v>
      </c>
      <c r="J23" s="15" t="s">
        <v>150</v>
      </c>
      <c r="K23" s="15" t="s">
        <v>151</v>
      </c>
      <c r="L23" s="15" t="s">
        <v>152</v>
      </c>
      <c r="M23" s="15" t="s">
        <v>153</v>
      </c>
    </row>
    <row r="24" customFormat="false" ht="12.8" hidden="false" customHeight="false" outlineLevel="0" collapsed="false">
      <c r="A24" s="17" t="s">
        <v>27</v>
      </c>
      <c r="B24" s="12" t="n">
        <v>1</v>
      </c>
      <c r="C24" s="12" t="s">
        <v>185</v>
      </c>
      <c r="D24" s="12" t="str">
        <f aca="false">Projects!$B$2</f>
        <v>archetypes_metabo</v>
      </c>
      <c r="F24" s="17" t="s">
        <v>139</v>
      </c>
      <c r="G24" s="1" t="s">
        <v>154</v>
      </c>
    </row>
    <row r="25" customFormat="false" ht="23.85" hidden="false" customHeight="false" outlineLevel="0" collapsed="false">
      <c r="A25" s="17" t="s">
        <v>255</v>
      </c>
      <c r="B25" s="12" t="n">
        <v>1</v>
      </c>
      <c r="C25" s="12" t="s">
        <v>185</v>
      </c>
      <c r="D25" s="17" t="s">
        <v>196</v>
      </c>
      <c r="F25" s="17" t="s">
        <v>139</v>
      </c>
      <c r="G25" s="12" t="s">
        <v>157</v>
      </c>
    </row>
    <row r="26" customFormat="false" ht="12.8" hidden="false" customHeight="false" outlineLevel="0" collapsed="false">
      <c r="D26" s="1"/>
      <c r="F26" s="1"/>
      <c r="G26" s="1"/>
    </row>
    <row r="27" customFormat="false" ht="15" hidden="false" customHeight="false" outlineLevel="0" collapsed="false">
      <c r="A27" s="14" t="s">
        <v>131</v>
      </c>
      <c r="B27" s="14" t="s">
        <v>30</v>
      </c>
      <c r="C27" s="13"/>
      <c r="D27" s="12"/>
      <c r="E27" s="12"/>
      <c r="F27" s="12"/>
      <c r="G27" s="12"/>
    </row>
    <row r="28" customFormat="false" ht="12.8" hidden="false" customHeight="false" outlineLevel="0" collapsed="false">
      <c r="A28" s="12" t="s">
        <v>133</v>
      </c>
      <c r="B28" s="12" t="s">
        <v>168</v>
      </c>
      <c r="C28" s="12"/>
      <c r="D28" s="12"/>
      <c r="E28" s="12"/>
      <c r="F28" s="12"/>
      <c r="G28" s="12"/>
    </row>
    <row r="29" customFormat="false" ht="13.8" hidden="false" customHeight="false" outlineLevel="0" collapsed="false">
      <c r="A29" s="12" t="s">
        <v>135</v>
      </c>
      <c r="B29" s="12" t="s">
        <v>256</v>
      </c>
      <c r="C29" s="13"/>
      <c r="D29" s="12"/>
      <c r="E29" s="12"/>
      <c r="F29" s="12"/>
      <c r="G29" s="12"/>
    </row>
    <row r="30" customFormat="false" ht="12.8" hidden="false" customHeight="false" outlineLevel="0" collapsed="false">
      <c r="A30" s="12" t="s">
        <v>136</v>
      </c>
      <c r="B30" s="12" t="s">
        <v>257</v>
      </c>
      <c r="C30" s="12"/>
      <c r="D30" s="12"/>
      <c r="E30" s="12"/>
      <c r="F30" s="12"/>
      <c r="G30" s="12"/>
    </row>
    <row r="31" customFormat="false" ht="12.8" hidden="false" customHeight="false" outlineLevel="0" collapsed="false">
      <c r="A31" s="12" t="s">
        <v>138</v>
      </c>
      <c r="B31" s="12" t="s">
        <v>139</v>
      </c>
      <c r="C31" s="12"/>
      <c r="D31" s="12"/>
      <c r="E31" s="12"/>
      <c r="F31" s="12"/>
      <c r="G31" s="12"/>
    </row>
    <row r="32" customFormat="false" ht="12.8" hidden="false" customHeight="false" outlineLevel="0" collapsed="false">
      <c r="A32" s="12" t="s">
        <v>140</v>
      </c>
      <c r="B32" s="12" t="n">
        <v>1</v>
      </c>
      <c r="C32" s="12"/>
      <c r="D32" s="12"/>
      <c r="E32" s="12"/>
      <c r="F32" s="12"/>
      <c r="G32" s="12"/>
    </row>
    <row r="33" customFormat="false" ht="12.8" hidden="false" customHeight="false" outlineLevel="0" collapsed="false">
      <c r="A33" s="12" t="s">
        <v>141</v>
      </c>
      <c r="B33" s="12" t="s">
        <v>142</v>
      </c>
      <c r="C33" s="12"/>
      <c r="D33" s="12"/>
      <c r="E33" s="12"/>
      <c r="F33" s="12"/>
      <c r="G33" s="12"/>
    </row>
    <row r="34" customFormat="false" ht="12.8" hidden="false" customHeight="false" outlineLevel="0" collapsed="false">
      <c r="A34" s="12" t="s">
        <v>143</v>
      </c>
      <c r="B34" s="12" t="s">
        <v>186</v>
      </c>
      <c r="C34" s="12"/>
      <c r="D34" s="12"/>
      <c r="E34" s="12"/>
      <c r="F34" s="12"/>
      <c r="G34" s="12"/>
    </row>
    <row r="35" customFormat="false" ht="15" hidden="false" customHeight="false" outlineLevel="0" collapsed="false">
      <c r="A35" s="14" t="s">
        <v>144</v>
      </c>
      <c r="B35" s="12"/>
      <c r="C35" s="12"/>
      <c r="D35" s="12"/>
      <c r="E35" s="12"/>
      <c r="F35" s="12"/>
      <c r="G35" s="12"/>
    </row>
    <row r="36" customFormat="false" ht="15" hidden="false" customHeight="false" outlineLevel="0" collapsed="false">
      <c r="A36" s="14" t="s">
        <v>145</v>
      </c>
      <c r="B36" s="14" t="s">
        <v>146</v>
      </c>
      <c r="C36" s="14" t="s">
        <v>143</v>
      </c>
      <c r="D36" s="14" t="s">
        <v>147</v>
      </c>
      <c r="E36" s="14" t="s">
        <v>133</v>
      </c>
      <c r="F36" s="14" t="s">
        <v>138</v>
      </c>
      <c r="G36" s="14" t="s">
        <v>141</v>
      </c>
      <c r="H36" s="15" t="s">
        <v>148</v>
      </c>
      <c r="I36" s="15" t="s">
        <v>149</v>
      </c>
      <c r="J36" s="15" t="s">
        <v>150</v>
      </c>
      <c r="K36" s="15" t="s">
        <v>151</v>
      </c>
      <c r="L36" s="15" t="s">
        <v>152</v>
      </c>
      <c r="M36" s="15" t="s">
        <v>153</v>
      </c>
    </row>
    <row r="37" customFormat="false" ht="12.8" hidden="false" customHeight="false" outlineLevel="0" collapsed="false">
      <c r="A37" s="17" t="s">
        <v>30</v>
      </c>
      <c r="B37" s="12" t="n">
        <v>1</v>
      </c>
      <c r="C37" s="12" t="s">
        <v>186</v>
      </c>
      <c r="D37" s="12" t="str">
        <f aca="false">Projects!$B$2</f>
        <v>archetypes_metabo</v>
      </c>
      <c r="F37" s="17" t="s">
        <v>139</v>
      </c>
      <c r="G37" s="1" t="s">
        <v>154</v>
      </c>
    </row>
    <row r="38" customFormat="false" ht="35.05" hidden="false" customHeight="false" outlineLevel="0" collapsed="false">
      <c r="A38" s="17" t="s">
        <v>206</v>
      </c>
      <c r="B38" s="12" t="n">
        <f aca="false">B32*Source!B42</f>
        <v>1000</v>
      </c>
      <c r="C38" s="12" t="s">
        <v>173</v>
      </c>
      <c r="D38" s="17" t="s">
        <v>196</v>
      </c>
      <c r="F38" s="17" t="s">
        <v>205</v>
      </c>
      <c r="G38" s="12" t="s">
        <v>157</v>
      </c>
    </row>
    <row r="39" customFormat="false" ht="12.8" hidden="false" customHeight="false" outlineLevel="0" collapsed="false">
      <c r="A39" s="17"/>
      <c r="B39" s="12"/>
      <c r="C39" s="12"/>
      <c r="D39" s="17"/>
      <c r="F39" s="17"/>
      <c r="G39" s="12"/>
    </row>
    <row r="40" customFormat="false" ht="12.8" hidden="false" customHeight="false" outlineLevel="0" collapsed="false">
      <c r="D40" s="1"/>
      <c r="F40" s="1"/>
      <c r="G40" s="1"/>
    </row>
    <row r="41" customFormat="false" ht="15" hidden="false" customHeight="false" outlineLevel="0" collapsed="false">
      <c r="A41" s="14" t="s">
        <v>131</v>
      </c>
      <c r="B41" s="14" t="s">
        <v>28</v>
      </c>
      <c r="C41" s="13"/>
      <c r="D41" s="12"/>
      <c r="E41" s="12"/>
      <c r="F41" s="12"/>
      <c r="G41" s="12"/>
    </row>
    <row r="42" customFormat="false" ht="12.8" hidden="false" customHeight="false" outlineLevel="0" collapsed="false">
      <c r="A42" s="12" t="s">
        <v>133</v>
      </c>
      <c r="B42" s="12" t="s">
        <v>168</v>
      </c>
      <c r="C42" s="12"/>
      <c r="D42" s="12"/>
      <c r="E42" s="12"/>
      <c r="F42" s="12"/>
      <c r="G42" s="12"/>
    </row>
    <row r="43" customFormat="false" ht="13.8" hidden="false" customHeight="false" outlineLevel="0" collapsed="false">
      <c r="A43" s="12" t="s">
        <v>135</v>
      </c>
      <c r="B43" s="12" t="s">
        <v>258</v>
      </c>
      <c r="C43" s="13"/>
      <c r="D43" s="12"/>
      <c r="E43" s="12"/>
      <c r="F43" s="12"/>
      <c r="G43" s="12"/>
    </row>
    <row r="44" customFormat="false" ht="12.8" hidden="false" customHeight="false" outlineLevel="0" collapsed="false">
      <c r="A44" s="12" t="s">
        <v>136</v>
      </c>
      <c r="B44" s="12" t="s">
        <v>259</v>
      </c>
      <c r="C44" s="12"/>
      <c r="D44" s="12"/>
      <c r="E44" s="12"/>
      <c r="F44" s="12"/>
      <c r="G44" s="12"/>
    </row>
    <row r="45" customFormat="false" ht="12.8" hidden="false" customHeight="false" outlineLevel="0" collapsed="false">
      <c r="A45" s="12" t="s">
        <v>138</v>
      </c>
      <c r="B45" s="12" t="s">
        <v>139</v>
      </c>
      <c r="C45" s="12"/>
      <c r="D45" s="12"/>
      <c r="E45" s="12"/>
      <c r="F45" s="12"/>
      <c r="G45" s="12"/>
    </row>
    <row r="46" customFormat="false" ht="12.8" hidden="false" customHeight="false" outlineLevel="0" collapsed="false">
      <c r="A46" s="12" t="s">
        <v>140</v>
      </c>
      <c r="B46" s="12" t="n">
        <v>1</v>
      </c>
      <c r="C46" s="12"/>
      <c r="D46" s="12"/>
      <c r="E46" s="12"/>
      <c r="F46" s="12"/>
      <c r="G46" s="12"/>
    </row>
    <row r="47" customFormat="false" ht="12.8" hidden="false" customHeight="false" outlineLevel="0" collapsed="false">
      <c r="A47" s="12" t="s">
        <v>141</v>
      </c>
      <c r="B47" s="12" t="s">
        <v>142</v>
      </c>
      <c r="C47" s="12"/>
      <c r="D47" s="12"/>
      <c r="E47" s="12"/>
      <c r="F47" s="12"/>
      <c r="G47" s="12"/>
    </row>
    <row r="48" customFormat="false" ht="12.8" hidden="false" customHeight="false" outlineLevel="0" collapsed="false">
      <c r="A48" s="12" t="s">
        <v>143</v>
      </c>
      <c r="B48" s="12" t="s">
        <v>185</v>
      </c>
      <c r="C48" s="12"/>
      <c r="D48" s="12"/>
      <c r="E48" s="12"/>
      <c r="F48" s="12"/>
      <c r="G48" s="12"/>
    </row>
    <row r="49" customFormat="false" ht="15" hidden="false" customHeight="false" outlineLevel="0" collapsed="false">
      <c r="A49" s="14" t="s">
        <v>144</v>
      </c>
      <c r="B49" s="12"/>
      <c r="C49" s="12"/>
      <c r="D49" s="12"/>
      <c r="E49" s="12"/>
      <c r="F49" s="12"/>
      <c r="G49" s="12"/>
    </row>
    <row r="50" customFormat="false" ht="15" hidden="false" customHeight="false" outlineLevel="0" collapsed="false">
      <c r="A50" s="14" t="s">
        <v>145</v>
      </c>
      <c r="B50" s="14" t="s">
        <v>146</v>
      </c>
      <c r="C50" s="14" t="s">
        <v>143</v>
      </c>
      <c r="D50" s="14" t="s">
        <v>147</v>
      </c>
      <c r="E50" s="14" t="s">
        <v>133</v>
      </c>
      <c r="F50" s="14" t="s">
        <v>138</v>
      </c>
      <c r="G50" s="14" t="s">
        <v>141</v>
      </c>
      <c r="H50" s="15" t="s">
        <v>148</v>
      </c>
      <c r="I50" s="15" t="s">
        <v>149</v>
      </c>
      <c r="J50" s="15" t="s">
        <v>150</v>
      </c>
      <c r="K50" s="15" t="s">
        <v>151</v>
      </c>
      <c r="L50" s="15" t="s">
        <v>152</v>
      </c>
      <c r="M50" s="15" t="s">
        <v>153</v>
      </c>
    </row>
    <row r="51" customFormat="false" ht="12.8" hidden="false" customHeight="false" outlineLevel="0" collapsed="false">
      <c r="A51" s="17" t="s">
        <v>28</v>
      </c>
      <c r="B51" s="12" t="n">
        <v>1</v>
      </c>
      <c r="C51" s="12" t="s">
        <v>185</v>
      </c>
      <c r="D51" s="12" t="str">
        <f aca="false">Projects!$B$2</f>
        <v>archetypes_metabo</v>
      </c>
      <c r="F51" s="17" t="s">
        <v>139</v>
      </c>
      <c r="G51" s="1" t="s">
        <v>154</v>
      </c>
    </row>
    <row r="52" customFormat="false" ht="35.05" hidden="false" customHeight="false" outlineLevel="0" collapsed="false">
      <c r="A52" s="17" t="s">
        <v>260</v>
      </c>
      <c r="B52" s="23" t="n">
        <f aca="false">B46*Source!B40/Source!B61</f>
        <v>0.087378640776699</v>
      </c>
      <c r="C52" s="12" t="s">
        <v>173</v>
      </c>
      <c r="D52" s="17" t="s">
        <v>196</v>
      </c>
      <c r="F52" s="17" t="s">
        <v>218</v>
      </c>
      <c r="G52" s="12" t="s">
        <v>157</v>
      </c>
    </row>
    <row r="53" customFormat="false" ht="12.8" hidden="false" customHeight="false" outlineLevel="0" collapsed="false">
      <c r="D53" s="1"/>
      <c r="F53" s="1"/>
      <c r="G53" s="1"/>
    </row>
    <row r="54" customFormat="false" ht="15" hidden="false" customHeight="false" outlineLevel="0" collapsed="false">
      <c r="A54" s="14" t="s">
        <v>131</v>
      </c>
      <c r="B54" s="14" t="s">
        <v>29</v>
      </c>
      <c r="C54" s="13"/>
      <c r="D54" s="12"/>
      <c r="E54" s="12"/>
      <c r="F54" s="12"/>
      <c r="G54" s="12"/>
    </row>
    <row r="55" customFormat="false" ht="12.8" hidden="false" customHeight="false" outlineLevel="0" collapsed="false">
      <c r="A55" s="12" t="s">
        <v>133</v>
      </c>
      <c r="B55" s="12" t="s">
        <v>168</v>
      </c>
      <c r="C55" s="12"/>
      <c r="D55" s="12"/>
      <c r="E55" s="12"/>
      <c r="F55" s="12"/>
      <c r="G55" s="12"/>
    </row>
    <row r="56" customFormat="false" ht="13.8" hidden="false" customHeight="false" outlineLevel="0" collapsed="false">
      <c r="A56" s="12" t="s">
        <v>135</v>
      </c>
      <c r="B56" s="12" t="s">
        <v>261</v>
      </c>
      <c r="C56" s="13"/>
      <c r="D56" s="12"/>
      <c r="E56" s="12"/>
      <c r="F56" s="12"/>
      <c r="G56" s="12"/>
    </row>
    <row r="57" customFormat="false" ht="12.8" hidden="false" customHeight="false" outlineLevel="0" collapsed="false">
      <c r="A57" s="12" t="s">
        <v>136</v>
      </c>
      <c r="B57" s="12" t="s">
        <v>262</v>
      </c>
      <c r="C57" s="12"/>
      <c r="D57" s="12"/>
      <c r="E57" s="12"/>
      <c r="F57" s="12"/>
      <c r="G57" s="12"/>
    </row>
    <row r="58" customFormat="false" ht="12.8" hidden="false" customHeight="false" outlineLevel="0" collapsed="false">
      <c r="A58" s="12" t="s">
        <v>138</v>
      </c>
      <c r="B58" s="12" t="s">
        <v>139</v>
      </c>
      <c r="C58" s="12"/>
      <c r="D58" s="12"/>
      <c r="E58" s="12"/>
      <c r="F58" s="12"/>
      <c r="G58" s="12"/>
    </row>
    <row r="59" customFormat="false" ht="12.8" hidden="false" customHeight="false" outlineLevel="0" collapsed="false">
      <c r="A59" s="12" t="s">
        <v>140</v>
      </c>
      <c r="B59" s="12" t="n">
        <v>1</v>
      </c>
      <c r="C59" s="12"/>
      <c r="D59" s="12"/>
      <c r="E59" s="12"/>
      <c r="F59" s="12"/>
      <c r="G59" s="12"/>
    </row>
    <row r="60" customFormat="false" ht="12.8" hidden="false" customHeight="false" outlineLevel="0" collapsed="false">
      <c r="A60" s="12" t="s">
        <v>141</v>
      </c>
      <c r="B60" s="12" t="s">
        <v>142</v>
      </c>
      <c r="C60" s="12"/>
      <c r="D60" s="12"/>
      <c r="E60" s="12"/>
      <c r="F60" s="12"/>
      <c r="G60" s="12"/>
    </row>
    <row r="61" customFormat="false" ht="12.8" hidden="false" customHeight="false" outlineLevel="0" collapsed="false">
      <c r="A61" s="12" t="s">
        <v>143</v>
      </c>
      <c r="B61" s="12" t="s">
        <v>185</v>
      </c>
      <c r="C61" s="12"/>
      <c r="D61" s="12"/>
      <c r="E61" s="12"/>
      <c r="F61" s="12"/>
      <c r="G61" s="12"/>
    </row>
    <row r="62" customFormat="false" ht="15" hidden="false" customHeight="false" outlineLevel="0" collapsed="false">
      <c r="A62" s="14" t="s">
        <v>144</v>
      </c>
      <c r="B62" s="12"/>
      <c r="C62" s="12"/>
      <c r="D62" s="12"/>
      <c r="E62" s="12"/>
      <c r="F62" s="12"/>
      <c r="G62" s="12"/>
    </row>
    <row r="63" customFormat="false" ht="15" hidden="false" customHeight="false" outlineLevel="0" collapsed="false">
      <c r="A63" s="14" t="s">
        <v>145</v>
      </c>
      <c r="B63" s="14" t="s">
        <v>146</v>
      </c>
      <c r="C63" s="14" t="s">
        <v>143</v>
      </c>
      <c r="D63" s="14" t="s">
        <v>147</v>
      </c>
      <c r="E63" s="14" t="s">
        <v>133</v>
      </c>
      <c r="F63" s="14" t="s">
        <v>138</v>
      </c>
      <c r="G63" s="14" t="s">
        <v>141</v>
      </c>
      <c r="H63" s="15" t="s">
        <v>148</v>
      </c>
      <c r="I63" s="15" t="s">
        <v>149</v>
      </c>
      <c r="J63" s="15" t="s">
        <v>150</v>
      </c>
      <c r="K63" s="15" t="s">
        <v>151</v>
      </c>
      <c r="L63" s="15" t="s">
        <v>152</v>
      </c>
      <c r="M63" s="15" t="s">
        <v>153</v>
      </c>
    </row>
    <row r="64" customFormat="false" ht="12.8" hidden="false" customHeight="false" outlineLevel="0" collapsed="false">
      <c r="A64" s="17" t="s">
        <v>28</v>
      </c>
      <c r="B64" s="12" t="n">
        <v>1</v>
      </c>
      <c r="C64" s="12" t="s">
        <v>185</v>
      </c>
      <c r="D64" s="12" t="str">
        <f aca="false">Projects!$B$2</f>
        <v>archetypes_metabo</v>
      </c>
      <c r="F64" s="17" t="s">
        <v>139</v>
      </c>
      <c r="G64" s="1" t="s">
        <v>154</v>
      </c>
    </row>
    <row r="65" customFormat="false" ht="23.85" hidden="false" customHeight="false" outlineLevel="0" collapsed="false">
      <c r="A65" s="17" t="s">
        <v>263</v>
      </c>
      <c r="B65" s="23" t="n">
        <f aca="false">B64*Source!B40</f>
        <v>3.6</v>
      </c>
      <c r="C65" s="12" t="s">
        <v>264</v>
      </c>
      <c r="D65" s="17" t="s">
        <v>196</v>
      </c>
      <c r="F65" s="17" t="s">
        <v>199</v>
      </c>
      <c r="G65" s="12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7" activeCellId="0" sqref="B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1" width="36.48"/>
    <col collapsed="false" customWidth="true" hidden="false" outlineLevel="0" max="4" min="4" style="1" width="29.06"/>
  </cols>
  <sheetData>
    <row r="1" customFormat="false" ht="15" hidden="false" customHeight="false" outlineLevel="0" collapsed="false">
      <c r="A1" s="14" t="s">
        <v>131</v>
      </c>
      <c r="B1" s="14" t="s">
        <v>32</v>
      </c>
      <c r="C1" s="13"/>
      <c r="D1" s="12"/>
      <c r="E1" s="12"/>
      <c r="F1" s="12"/>
      <c r="G1" s="12"/>
    </row>
    <row r="2" customFormat="false" ht="12.8" hidden="false" customHeight="false" outlineLevel="0" collapsed="false">
      <c r="A2" s="12" t="s">
        <v>133</v>
      </c>
      <c r="B2" s="12" t="s">
        <v>168</v>
      </c>
      <c r="C2" s="12"/>
      <c r="D2" s="12"/>
      <c r="E2" s="12"/>
      <c r="F2" s="12"/>
      <c r="G2" s="12"/>
    </row>
    <row r="3" customFormat="false" ht="13.8" hidden="false" customHeight="false" outlineLevel="0" collapsed="false">
      <c r="A3" s="12" t="s">
        <v>135</v>
      </c>
      <c r="B3" s="12" t="s">
        <v>265</v>
      </c>
      <c r="C3" s="13"/>
      <c r="D3" s="12"/>
      <c r="E3" s="12"/>
      <c r="F3" s="12"/>
      <c r="G3" s="12"/>
    </row>
    <row r="4" customFormat="false" ht="12.8" hidden="false" customHeight="false" outlineLevel="0" collapsed="false">
      <c r="A4" s="12" t="s">
        <v>136</v>
      </c>
      <c r="B4" s="12" t="s">
        <v>266</v>
      </c>
      <c r="C4" s="12"/>
      <c r="D4" s="12"/>
      <c r="E4" s="12"/>
      <c r="F4" s="12"/>
      <c r="G4" s="12"/>
    </row>
    <row r="5" customFormat="false" ht="12.8" hidden="false" customHeight="false" outlineLevel="0" collapsed="false">
      <c r="A5" s="12" t="s">
        <v>138</v>
      </c>
      <c r="B5" s="12" t="s">
        <v>139</v>
      </c>
      <c r="C5" s="12"/>
      <c r="D5" s="12"/>
      <c r="E5" s="12"/>
      <c r="F5" s="12"/>
      <c r="G5" s="12"/>
    </row>
    <row r="6" customFormat="false" ht="12.8" hidden="false" customHeight="false" outlineLevel="0" collapsed="false">
      <c r="A6" s="12" t="s">
        <v>140</v>
      </c>
      <c r="B6" s="12" t="n">
        <v>1</v>
      </c>
      <c r="C6" s="12"/>
      <c r="D6" s="12"/>
      <c r="E6" s="12"/>
      <c r="F6" s="12"/>
      <c r="G6" s="12"/>
    </row>
    <row r="7" customFormat="false" ht="12.8" hidden="false" customHeight="false" outlineLevel="0" collapsed="false">
      <c r="A7" s="12" t="s">
        <v>141</v>
      </c>
      <c r="B7" s="12" t="s">
        <v>142</v>
      </c>
      <c r="C7" s="12"/>
      <c r="D7" s="12"/>
      <c r="E7" s="12"/>
      <c r="F7" s="12"/>
      <c r="G7" s="12"/>
    </row>
    <row r="8" customFormat="false" ht="12.8" hidden="false" customHeight="false" outlineLevel="0" collapsed="false">
      <c r="A8" s="12" t="s">
        <v>143</v>
      </c>
      <c r="B8" s="12" t="s">
        <v>187</v>
      </c>
      <c r="C8" s="12"/>
      <c r="D8" s="12"/>
      <c r="E8" s="12"/>
      <c r="F8" s="12"/>
      <c r="G8" s="12"/>
    </row>
    <row r="9" customFormat="false" ht="15" hidden="false" customHeight="false" outlineLevel="0" collapsed="false">
      <c r="A9" s="14" t="s">
        <v>144</v>
      </c>
      <c r="B9" s="12"/>
      <c r="C9" s="12"/>
      <c r="D9" s="12"/>
      <c r="E9" s="12"/>
      <c r="F9" s="12"/>
      <c r="G9" s="12"/>
    </row>
    <row r="10" customFormat="false" ht="15" hidden="false" customHeight="false" outlineLevel="0" collapsed="false">
      <c r="A10" s="14" t="s">
        <v>145</v>
      </c>
      <c r="B10" s="14" t="s">
        <v>146</v>
      </c>
      <c r="C10" s="14" t="s">
        <v>143</v>
      </c>
      <c r="D10" s="14" t="s">
        <v>147</v>
      </c>
      <c r="E10" s="14" t="s">
        <v>133</v>
      </c>
      <c r="F10" s="14" t="s">
        <v>138</v>
      </c>
      <c r="G10" s="14" t="s">
        <v>141</v>
      </c>
      <c r="H10" s="15" t="s">
        <v>148</v>
      </c>
      <c r="I10" s="15" t="s">
        <v>149</v>
      </c>
      <c r="J10" s="15" t="s">
        <v>150</v>
      </c>
      <c r="K10" s="15" t="s">
        <v>151</v>
      </c>
      <c r="L10" s="15" t="s">
        <v>152</v>
      </c>
      <c r="M10" s="15" t="s">
        <v>153</v>
      </c>
    </row>
    <row r="11" customFormat="false" ht="13.8" hidden="false" customHeight="false" outlineLevel="0" collapsed="false">
      <c r="A11" s="17" t="s">
        <v>32</v>
      </c>
      <c r="B11" s="12" t="n">
        <v>1</v>
      </c>
      <c r="C11" s="18" t="s">
        <v>187</v>
      </c>
      <c r="D11" s="12" t="str">
        <f aca="false">Projects!$B$2</f>
        <v>archetypes_metabo</v>
      </c>
      <c r="E11" s="12"/>
      <c r="F11" s="18" t="s">
        <v>139</v>
      </c>
      <c r="G11" s="12" t="s">
        <v>154</v>
      </c>
    </row>
    <row r="12" customFormat="false" ht="12.8" hidden="false" customHeight="false" outlineLevel="0" collapsed="false">
      <c r="A12" s="24" t="s">
        <v>267</v>
      </c>
      <c r="B12" s="12" t="n">
        <f aca="false">Source!B43</f>
        <v>0.2</v>
      </c>
      <c r="C12" s="12" t="s">
        <v>264</v>
      </c>
      <c r="D12" s="17" t="s">
        <v>196</v>
      </c>
      <c r="F12" s="17" t="s">
        <v>197</v>
      </c>
      <c r="G12" s="12" t="s">
        <v>157</v>
      </c>
    </row>
    <row r="13" customFormat="false" ht="12.8" hidden="false" customHeight="false" outlineLevel="0" collapsed="false">
      <c r="A13" s="24" t="s">
        <v>268</v>
      </c>
      <c r="B13" s="11" t="n">
        <f aca="false">Source!B44</f>
        <v>12566.6666666667</v>
      </c>
      <c r="C13" s="12" t="s">
        <v>185</v>
      </c>
      <c r="D13" s="17" t="s">
        <v>196</v>
      </c>
      <c r="F13" s="17" t="s">
        <v>139</v>
      </c>
      <c r="G13" s="12" t="s">
        <v>157</v>
      </c>
    </row>
    <row r="14" customFormat="false" ht="23.85" hidden="false" customHeight="false" outlineLevel="0" collapsed="false">
      <c r="A14" s="24" t="s">
        <v>269</v>
      </c>
      <c r="B14" s="25" t="n">
        <f aca="false">Source!B45*Source!B47/1000</f>
        <v>0.833333333333333</v>
      </c>
      <c r="C14" s="1" t="s">
        <v>270</v>
      </c>
      <c r="D14" s="17" t="s">
        <v>196</v>
      </c>
      <c r="F14" s="17" t="s">
        <v>197</v>
      </c>
      <c r="G14" s="12" t="s">
        <v>157</v>
      </c>
    </row>
    <row r="15" customFormat="false" ht="35.05" hidden="false" customHeight="false" outlineLevel="0" collapsed="false">
      <c r="A15" s="17" t="s">
        <v>206</v>
      </c>
      <c r="B15" s="12" t="n">
        <v>100</v>
      </c>
      <c r="C15" s="12" t="s">
        <v>173</v>
      </c>
      <c r="D15" s="17" t="s">
        <v>196</v>
      </c>
      <c r="F15" s="17" t="s">
        <v>218</v>
      </c>
      <c r="G15" s="12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2025-02-04T10:32:03Z</dcterms:created>
  <dc:creator/>
  <dc:description/>
  <dc:language>fr-FR</dc:language>
  <cp:lastModifiedBy/>
  <dcterms:modified xsi:type="dcterms:W3CDTF">2026-09-14T22:06:14Z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